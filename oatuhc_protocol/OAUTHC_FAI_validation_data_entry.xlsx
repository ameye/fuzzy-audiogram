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 Entry" sheetId="1" state="visible" r:id="rId1"/>
    <sheet xmlns:r="http://schemas.openxmlformats.org/officeDocument/2006/relationships" name="Instructions" sheetId="2" state="visible" r:id="rId2"/>
    <sheet xmlns:r="http://schemas.openxmlformats.org/officeDocument/2006/relationships" name="Data Dictionary" sheetId="3" state="visible" r:id="rId3"/>
    <sheet xmlns:r="http://schemas.openxmlformats.org/officeDocument/2006/relationships" name="README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777777"/>
      <sz val="8"/>
    </font>
    <font>
      <i val="1"/>
      <color rgb="00999999"/>
      <sz val="9"/>
    </font>
    <font>
      <b val="1"/>
      <color rgb="001a3a5c"/>
      <sz val="14"/>
    </font>
    <font>
      <sz val="11"/>
    </font>
    <font>
      <i val="1"/>
      <color rgb="002a7a6f"/>
      <sz val="10"/>
    </font>
    <font>
      <b val="1"/>
      <color rgb="00FFFFFF"/>
    </font>
    <font>
      <sz val="10"/>
    </font>
    <font>
      <b val="1"/>
      <color rgb="001a3a5c"/>
      <sz val="13"/>
    </font>
  </fonts>
  <fills count="6">
    <fill>
      <patternFill/>
    </fill>
    <fill>
      <patternFill patternType="gray125"/>
    </fill>
    <fill>
      <patternFill patternType="solid">
        <fgColor rgb="001a3a5c"/>
      </patternFill>
    </fill>
    <fill>
      <patternFill patternType="solid">
        <fgColor rgb="00eef2f7"/>
      </patternFill>
    </fill>
    <fill>
      <patternFill patternType="solid">
        <fgColor rgb="00f5f5f5"/>
      </patternFill>
    </fill>
    <fill>
      <patternFill patternType="solid">
        <fgColor rgb="002a7a6f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1" fillId="5" borderId="1" applyAlignment="1" pivotButton="0" quotePrefix="0" xfId="0">
      <alignment horizontal="center" vertical="center" wrapText="1"/>
    </xf>
    <xf numFmtId="0" fontId="2" fillId="3" borderId="0" applyAlignment="1" pivotButton="0" quotePrefix="0" xfId="0">
      <alignment vertical="center" wrapText="1"/>
    </xf>
    <xf numFmtId="0" fontId="3" fillId="4" borderId="0" pivotButton="0" quotePrefix="0" xfId="0"/>
    <xf numFmtId="0" fontId="4" fillId="0" borderId="0" applyAlignment="1" pivotButton="0" quotePrefix="0" xfId="0">
      <alignment vertical="top" wrapText="1"/>
    </xf>
    <xf numFmtId="0" fontId="5" fillId="0" borderId="0" applyAlignment="1" pivotButton="0" quotePrefix="0" xfId="0">
      <alignment vertical="top" wrapText="1"/>
    </xf>
    <xf numFmtId="0" fontId="6" fillId="0" borderId="0" applyAlignment="1" pivotButton="0" quotePrefix="0" xfId="0">
      <alignment vertical="top" wrapText="1"/>
    </xf>
    <xf numFmtId="0" fontId="7" fillId="2" borderId="1" pivotButton="0" quotePrefix="0" xfId="0"/>
    <xf numFmtId="0" fontId="8" fillId="0" borderId="1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</cellXfs>
  <cellStyles count="1">
    <cellStyle name="Normal" xfId="0" builtinId="0" hidden="0"/>
  </cellStyles>
  <dxfs count="1">
    <dxf>
      <fill>
        <patternFill patternType="solid">
          <fgColor rgb="00fff3cd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502"/>
  <sheetViews>
    <sheetView workbookViewId="0">
      <pane ySplit="2" topLeftCell="A3" activePane="bottomLeft" state="frozen"/>
      <selection pane="bottomLeft" activeCell="A1" sqref="A1"/>
    </sheetView>
  </sheetViews>
  <sheetFormatPr baseColWidth="8" defaultRowHeight="15"/>
  <cols>
    <col width="9" customWidth="1" min="1" max="1"/>
    <col width="10" customWidth="1" min="2" max="2"/>
    <col width="8" customWidth="1" min="3" max="3"/>
    <col width="14" customWidth="1" min="4" max="4"/>
    <col width="9" customWidth="1" min="5" max="5"/>
    <col width="6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  <col width="8" customWidth="1" min="17" max="17"/>
    <col width="8" customWidth="1" min="18" max="18"/>
    <col width="18" customWidth="1" min="19" max="19"/>
    <col width="16" customWidth="1" min="20" max="20"/>
    <col width="14" customWidth="1" min="21" max="21"/>
    <col width="11" customWidth="1" min="22" max="22"/>
    <col width="22" customWidth="1" min="23" max="23"/>
    <col width="9" customWidth="1" min="24" max="24"/>
    <col width="10" customWidth="1" min="25" max="25"/>
    <col width="11" customWidth="1" min="26" max="26"/>
    <col width="15" customWidth="1" min="27" max="27"/>
  </cols>
  <sheetData>
    <row r="1">
      <c r="A1" s="1" t="inlineStr">
        <is>
          <t>study_id</t>
        </is>
      </c>
      <c r="B1" s="1" t="inlineStr">
        <is>
          <t>patient_id</t>
        </is>
      </c>
      <c r="C1" s="1" t="inlineStr">
        <is>
          <t>ear</t>
        </is>
      </c>
      <c r="D1" s="1" t="inlineStr">
        <is>
          <t>test_month_year</t>
        </is>
      </c>
      <c r="E1" s="1" t="inlineStr">
        <is>
          <t>age_years</t>
        </is>
      </c>
      <c r="F1" s="1" t="inlineStr">
        <is>
          <t>sex</t>
        </is>
      </c>
      <c r="G1" s="1" t="inlineStr">
        <is>
          <t>th_250</t>
        </is>
      </c>
      <c r="H1" s="1" t="inlineStr">
        <is>
          <t>th_500</t>
        </is>
      </c>
      <c r="I1" s="1" t="inlineStr">
        <is>
          <t>th_1k</t>
        </is>
      </c>
      <c r="J1" s="1" t="inlineStr">
        <is>
          <t>th_2k</t>
        </is>
      </c>
      <c r="K1" s="1" t="inlineStr">
        <is>
          <t>th_3k</t>
        </is>
      </c>
      <c r="L1" s="1" t="inlineStr">
        <is>
          <t>th_4k</t>
        </is>
      </c>
      <c r="M1" s="1" t="inlineStr">
        <is>
          <t>th_6k</t>
        </is>
      </c>
      <c r="N1" s="1" t="inlineStr">
        <is>
          <t>th_8k</t>
        </is>
      </c>
      <c r="O1" s="1" t="inlineStr">
        <is>
          <t>bc_500</t>
        </is>
      </c>
      <c r="P1" s="1" t="inlineStr">
        <is>
          <t>bc_1k</t>
        </is>
      </c>
      <c r="Q1" s="1" t="inlineStr">
        <is>
          <t>bc_2k</t>
        </is>
      </c>
      <c r="R1" s="1" t="inlineStr">
        <is>
          <t>bc_4k</t>
        </is>
      </c>
      <c r="S1" s="1" t="inlineStr">
        <is>
          <t>diagnosis_category</t>
        </is>
      </c>
      <c r="T1" s="1" t="inlineStr">
        <is>
          <t>consultant_grade</t>
        </is>
      </c>
      <c r="U1" s="1" t="inlineStr">
        <is>
          <t>documented_shape</t>
        </is>
      </c>
      <c r="V1" s="1" t="inlineStr">
        <is>
          <t>ear_included</t>
        </is>
      </c>
      <c r="W1" s="1" t="inlineStr">
        <is>
          <t>exclusion_reason</t>
        </is>
      </c>
      <c r="X1" s="2" t="inlineStr">
        <is>
          <t>pta4</t>
        </is>
      </c>
      <c r="Y1" s="2" t="inlineStr">
        <is>
          <t>who_grade</t>
        </is>
      </c>
      <c r="Z1" s="2" t="inlineStr">
        <is>
          <t>borderline</t>
        </is>
      </c>
      <c r="AA1" s="2" t="inlineStr">
        <is>
          <t>monotonicity_flag</t>
        </is>
      </c>
    </row>
    <row r="2">
      <c r="A2" s="3" t="inlineStr">
        <is>
          <t>Study ID (auto, sequential)</t>
        </is>
      </c>
      <c r="B2" s="3" t="inlineStr">
        <is>
          <t>Patient ID (2 rows share: L/R)</t>
        </is>
      </c>
      <c r="C2" s="3" t="inlineStr">
        <is>
          <t>Ear</t>
        </is>
      </c>
      <c r="D2" s="3" t="inlineStr">
        <is>
          <t>e.g. Mar 2023 (month-year only)</t>
        </is>
      </c>
      <c r="E2" s="3" t="inlineStr">
        <is>
          <t>Age (18–110)</t>
        </is>
      </c>
      <c r="F2" s="3" t="inlineStr">
        <is>
          <t>1=M, 2=F</t>
        </is>
      </c>
      <c r="G2" s="3" t="inlineStr">
        <is>
          <t>dB HL</t>
        </is>
      </c>
      <c r="H2" s="3" t="inlineStr">
        <is>
          <t>dB HL</t>
        </is>
      </c>
      <c r="I2" s="3" t="inlineStr">
        <is>
          <t>dB HL</t>
        </is>
      </c>
      <c r="J2" s="3" t="inlineStr">
        <is>
          <t>dB HL</t>
        </is>
      </c>
      <c r="K2" s="3" t="inlineStr">
        <is>
          <t>dB HL</t>
        </is>
      </c>
      <c r="L2" s="3" t="inlineStr">
        <is>
          <t>dB HL</t>
        </is>
      </c>
      <c r="M2" s="3" t="inlineStr">
        <is>
          <t>dB HL</t>
        </is>
      </c>
      <c r="N2" s="3" t="inlineStr">
        <is>
          <t>dB HL</t>
        </is>
      </c>
      <c r="O2" s="3" t="inlineStr">
        <is>
          <t>dB HL (optional)</t>
        </is>
      </c>
      <c r="P2" s="3" t="inlineStr">
        <is>
          <t>dB HL (optional)</t>
        </is>
      </c>
      <c r="Q2" s="3" t="inlineStr">
        <is>
          <t>dB HL (optional)</t>
        </is>
      </c>
      <c r="R2" s="3" t="inlineStr">
        <is>
          <t>dB HL (optional)</t>
        </is>
      </c>
      <c r="S2" s="3" t="inlineStr">
        <is>
          <t>Clinical diagnosis</t>
        </is>
      </c>
      <c r="T2" s="3" t="inlineStr">
        <is>
          <t>Documented grade</t>
        </is>
      </c>
      <c r="U2" s="3" t="inlineStr">
        <is>
          <t>Documented shape</t>
        </is>
      </c>
      <c r="V2" s="3" t="inlineStr">
        <is>
          <t>1=eligible 0=excluded</t>
        </is>
      </c>
      <c r="W2" s="3" t="inlineStr">
        <is>
          <t>Blank if included</t>
        </is>
      </c>
      <c r="X2" s="3" t="inlineStr">
        <is>
          <t>Auto: mean of 500,1k,2k,4k</t>
        </is>
      </c>
      <c r="Y2" s="3" t="inlineStr">
        <is>
          <t>Auto WHO PTA-4</t>
        </is>
      </c>
      <c r="Z2" s="3" t="inlineStr">
        <is>
          <t>Auto: within ±5 dB of boundary</t>
        </is>
      </c>
      <c r="AA2" s="3" t="inlineStr">
        <is>
          <t>Auto: &gt;40 dB jump between adjacent freqs</t>
        </is>
      </c>
    </row>
    <row r="3">
      <c r="A3" s="4" t="n">
        <v>1</v>
      </c>
      <c r="B3" s="4" t="n">
        <v>1</v>
      </c>
      <c r="C3" s="4" t="inlineStr">
        <is>
          <t>left</t>
        </is>
      </c>
      <c r="D3" s="4" t="inlineStr">
        <is>
          <t>Mar 2023</t>
        </is>
      </c>
      <c r="E3" s="4" t="n">
        <v>45</v>
      </c>
      <c r="F3" s="4" t="n">
        <v>1</v>
      </c>
      <c r="G3" s="4" t="n">
        <v>20</v>
      </c>
      <c r="H3" s="4" t="n">
        <v>25</v>
      </c>
      <c r="I3" s="4" t="n">
        <v>30</v>
      </c>
      <c r="J3" s="4" t="n">
        <v>35</v>
      </c>
      <c r="K3" s="4" t="n">
        <v>38</v>
      </c>
      <c r="L3" s="4" t="n">
        <v>42</v>
      </c>
      <c r="M3" s="4" t="n">
        <v>40</v>
      </c>
      <c r="N3" s="4" t="n">
        <v>45</v>
      </c>
      <c r="O3" s="4" t="inlineStr"/>
      <c r="P3" s="4" t="inlineStr"/>
      <c r="Q3" s="4" t="inlineStr"/>
      <c r="R3" s="4" t="inlineStr"/>
      <c r="S3" s="4" t="inlineStr">
        <is>
          <t>presbyacusis</t>
        </is>
      </c>
      <c r="T3" s="4" t="inlineStr">
        <is>
          <t>mild</t>
        </is>
      </c>
      <c r="U3" s="4" t="inlineStr">
        <is>
          <t>sloping</t>
        </is>
      </c>
      <c r="V3" s="4" t="n">
        <v>1</v>
      </c>
      <c r="W3" s="4" t="inlineStr"/>
      <c r="X3" s="4">
        <f>IF(COUNT(H3,I3,J3,L3)&lt;4,"",ROUND(AVERAGE(H3,I3,J3,L3),1))</f>
        <v/>
      </c>
      <c r="Y3" s="4">
        <f>IF(X3="","",IF(X3&lt;26,"normal",IF(X3&lt;41,"mild",IF(X3&lt;61,"moderate",IF(X3&lt;81,"severe","profound")))))</f>
        <v/>
      </c>
      <c r="Z3" s="4">
        <f>IF(X3="","",IF(OR(ABS(X3-25)&lt;=5,ABS(X3-40)&lt;=5,ABS(X3-60)&lt;=5,ABS(X3-80)&lt;=5),1,0))</f>
        <v/>
      </c>
      <c r="AA3" s="4">
        <f>IF(MAX(ABS(G3-H3),ABS(H3-I3),ABS(I3-J3),ABS(J3-K3),ABS(K3-L3),ABS(L3-M3),ABS(M3-N3))&gt;40,1,0)</f>
        <v/>
      </c>
    </row>
    <row r="4">
      <c r="X4">
        <f>IF(COUNT(H4,I4,J4,L4)&lt;4,"",ROUND(AVERAGE(H4,I4,J4,L4),1))</f>
        <v/>
      </c>
      <c r="Y4">
        <f>IF(X4="","",IF(X4&lt;26,"normal",IF(X4&lt;41,"mild",IF(X4&lt;61,"moderate",IF(X4&lt;81,"severe","profound")))))</f>
        <v/>
      </c>
      <c r="Z4">
        <f>IF(X4="","",IF(OR(ABS(X4-25)&lt;=5,ABS(X4-40)&lt;=5,ABS(X4-60)&lt;=5,ABS(X4-80)&lt;=5),1,0))</f>
        <v/>
      </c>
      <c r="AA4">
        <f>IF(MAX(ABS(G4-H4),ABS(H4-I4),ABS(I4-J4),ABS(J4-K4),ABS(K4-L4),ABS(L4-M4),ABS(M4-N4))&gt;40,1,0)</f>
        <v/>
      </c>
    </row>
    <row r="5">
      <c r="X5">
        <f>IF(COUNT(H5,I5,J5,L5)&lt;4,"",ROUND(AVERAGE(H5,I5,J5,L5),1))</f>
        <v/>
      </c>
      <c r="Y5">
        <f>IF(X5="","",IF(X5&lt;26,"normal",IF(X5&lt;41,"mild",IF(X5&lt;61,"moderate",IF(X5&lt;81,"severe","profound")))))</f>
        <v/>
      </c>
      <c r="Z5">
        <f>IF(X5="","",IF(OR(ABS(X5-25)&lt;=5,ABS(X5-40)&lt;=5,ABS(X5-60)&lt;=5,ABS(X5-80)&lt;=5),1,0))</f>
        <v/>
      </c>
      <c r="AA5">
        <f>IF(MAX(ABS(G5-H5),ABS(H5-I5),ABS(I5-J5),ABS(J5-K5),ABS(K5-L5),ABS(L5-M5),ABS(M5-N5))&gt;40,1,0)</f>
        <v/>
      </c>
    </row>
    <row r="6">
      <c r="X6">
        <f>IF(COUNT(H6,I6,J6,L6)&lt;4,"",ROUND(AVERAGE(H6,I6,J6,L6),1))</f>
        <v/>
      </c>
      <c r="Y6">
        <f>IF(X6="","",IF(X6&lt;26,"normal",IF(X6&lt;41,"mild",IF(X6&lt;61,"moderate",IF(X6&lt;81,"severe","profound")))))</f>
        <v/>
      </c>
      <c r="Z6">
        <f>IF(X6="","",IF(OR(ABS(X6-25)&lt;=5,ABS(X6-40)&lt;=5,ABS(X6-60)&lt;=5,ABS(X6-80)&lt;=5),1,0))</f>
        <v/>
      </c>
      <c r="AA6">
        <f>IF(MAX(ABS(G6-H6),ABS(H6-I6),ABS(I6-J6),ABS(J6-K6),ABS(K6-L6),ABS(L6-M6),ABS(M6-N6))&gt;40,1,0)</f>
        <v/>
      </c>
    </row>
    <row r="7">
      <c r="X7">
        <f>IF(COUNT(H7,I7,J7,L7)&lt;4,"",ROUND(AVERAGE(H7,I7,J7,L7),1))</f>
        <v/>
      </c>
      <c r="Y7">
        <f>IF(X7="","",IF(X7&lt;26,"normal",IF(X7&lt;41,"mild",IF(X7&lt;61,"moderate",IF(X7&lt;81,"severe","profound")))))</f>
        <v/>
      </c>
      <c r="Z7">
        <f>IF(X7="","",IF(OR(ABS(X7-25)&lt;=5,ABS(X7-40)&lt;=5,ABS(X7-60)&lt;=5,ABS(X7-80)&lt;=5),1,0))</f>
        <v/>
      </c>
      <c r="AA7">
        <f>IF(MAX(ABS(G7-H7),ABS(H7-I7),ABS(I7-J7),ABS(J7-K7),ABS(K7-L7),ABS(L7-M7),ABS(M7-N7))&gt;40,1,0)</f>
        <v/>
      </c>
    </row>
    <row r="8">
      <c r="X8">
        <f>IF(COUNT(H8,I8,J8,L8)&lt;4,"",ROUND(AVERAGE(H8,I8,J8,L8),1))</f>
        <v/>
      </c>
      <c r="Y8">
        <f>IF(X8="","",IF(X8&lt;26,"normal",IF(X8&lt;41,"mild",IF(X8&lt;61,"moderate",IF(X8&lt;81,"severe","profound")))))</f>
        <v/>
      </c>
      <c r="Z8">
        <f>IF(X8="","",IF(OR(ABS(X8-25)&lt;=5,ABS(X8-40)&lt;=5,ABS(X8-60)&lt;=5,ABS(X8-80)&lt;=5),1,0))</f>
        <v/>
      </c>
      <c r="AA8">
        <f>IF(MAX(ABS(G8-H8),ABS(H8-I8),ABS(I8-J8),ABS(J8-K8),ABS(K8-L8),ABS(L8-M8),ABS(M8-N8))&gt;40,1,0)</f>
        <v/>
      </c>
    </row>
    <row r="9">
      <c r="X9">
        <f>IF(COUNT(H9,I9,J9,L9)&lt;4,"",ROUND(AVERAGE(H9,I9,J9,L9),1))</f>
        <v/>
      </c>
      <c r="Y9">
        <f>IF(X9="","",IF(X9&lt;26,"normal",IF(X9&lt;41,"mild",IF(X9&lt;61,"moderate",IF(X9&lt;81,"severe","profound")))))</f>
        <v/>
      </c>
      <c r="Z9">
        <f>IF(X9="","",IF(OR(ABS(X9-25)&lt;=5,ABS(X9-40)&lt;=5,ABS(X9-60)&lt;=5,ABS(X9-80)&lt;=5),1,0))</f>
        <v/>
      </c>
      <c r="AA9">
        <f>IF(MAX(ABS(G9-H9),ABS(H9-I9),ABS(I9-J9),ABS(J9-K9),ABS(K9-L9),ABS(L9-M9),ABS(M9-N9))&gt;40,1,0)</f>
        <v/>
      </c>
    </row>
    <row r="10">
      <c r="X10">
        <f>IF(COUNT(H10,I10,J10,L10)&lt;4,"",ROUND(AVERAGE(H10,I10,J10,L10),1))</f>
        <v/>
      </c>
      <c r="Y10">
        <f>IF(X10="","",IF(X10&lt;26,"normal",IF(X10&lt;41,"mild",IF(X10&lt;61,"moderate",IF(X10&lt;81,"severe","profound")))))</f>
        <v/>
      </c>
      <c r="Z10">
        <f>IF(X10="","",IF(OR(ABS(X10-25)&lt;=5,ABS(X10-40)&lt;=5,ABS(X10-60)&lt;=5,ABS(X10-80)&lt;=5),1,0))</f>
        <v/>
      </c>
      <c r="AA10">
        <f>IF(MAX(ABS(G10-H10),ABS(H10-I10),ABS(I10-J10),ABS(J10-K10),ABS(K10-L10),ABS(L10-M10),ABS(M10-N10))&gt;40,1,0)</f>
        <v/>
      </c>
    </row>
    <row r="11">
      <c r="X11">
        <f>IF(COUNT(H11,I11,J11,L11)&lt;4,"",ROUND(AVERAGE(H11,I11,J11,L11),1))</f>
        <v/>
      </c>
      <c r="Y11">
        <f>IF(X11="","",IF(X11&lt;26,"normal",IF(X11&lt;41,"mild",IF(X11&lt;61,"moderate",IF(X11&lt;81,"severe","profound")))))</f>
        <v/>
      </c>
      <c r="Z11">
        <f>IF(X11="","",IF(OR(ABS(X11-25)&lt;=5,ABS(X11-40)&lt;=5,ABS(X11-60)&lt;=5,ABS(X11-80)&lt;=5),1,0))</f>
        <v/>
      </c>
      <c r="AA11">
        <f>IF(MAX(ABS(G11-H11),ABS(H11-I11),ABS(I11-J11),ABS(J11-K11),ABS(K11-L11),ABS(L11-M11),ABS(M11-N11))&gt;40,1,0)</f>
        <v/>
      </c>
    </row>
    <row r="12">
      <c r="X12">
        <f>IF(COUNT(H12,I12,J12,L12)&lt;4,"",ROUND(AVERAGE(H12,I12,J12,L12),1))</f>
        <v/>
      </c>
      <c r="Y12">
        <f>IF(X12="","",IF(X12&lt;26,"normal",IF(X12&lt;41,"mild",IF(X12&lt;61,"moderate",IF(X12&lt;81,"severe","profound")))))</f>
        <v/>
      </c>
      <c r="Z12">
        <f>IF(X12="","",IF(OR(ABS(X12-25)&lt;=5,ABS(X12-40)&lt;=5,ABS(X12-60)&lt;=5,ABS(X12-80)&lt;=5),1,0))</f>
        <v/>
      </c>
      <c r="AA12">
        <f>IF(MAX(ABS(G12-H12),ABS(H12-I12),ABS(I12-J12),ABS(J12-K12),ABS(K12-L12),ABS(L12-M12),ABS(M12-N12))&gt;40,1,0)</f>
        <v/>
      </c>
    </row>
    <row r="13">
      <c r="X13">
        <f>IF(COUNT(H13,I13,J13,L13)&lt;4,"",ROUND(AVERAGE(H13,I13,J13,L13),1))</f>
        <v/>
      </c>
      <c r="Y13">
        <f>IF(X13="","",IF(X13&lt;26,"normal",IF(X13&lt;41,"mild",IF(X13&lt;61,"moderate",IF(X13&lt;81,"severe","profound")))))</f>
        <v/>
      </c>
      <c r="Z13">
        <f>IF(X13="","",IF(OR(ABS(X13-25)&lt;=5,ABS(X13-40)&lt;=5,ABS(X13-60)&lt;=5,ABS(X13-80)&lt;=5),1,0))</f>
        <v/>
      </c>
      <c r="AA13">
        <f>IF(MAX(ABS(G13-H13),ABS(H13-I13),ABS(I13-J13),ABS(J13-K13),ABS(K13-L13),ABS(L13-M13),ABS(M13-N13))&gt;40,1,0)</f>
        <v/>
      </c>
    </row>
    <row r="14">
      <c r="X14">
        <f>IF(COUNT(H14,I14,J14,L14)&lt;4,"",ROUND(AVERAGE(H14,I14,J14,L14),1))</f>
        <v/>
      </c>
      <c r="Y14">
        <f>IF(X14="","",IF(X14&lt;26,"normal",IF(X14&lt;41,"mild",IF(X14&lt;61,"moderate",IF(X14&lt;81,"severe","profound")))))</f>
        <v/>
      </c>
      <c r="Z14">
        <f>IF(X14="","",IF(OR(ABS(X14-25)&lt;=5,ABS(X14-40)&lt;=5,ABS(X14-60)&lt;=5,ABS(X14-80)&lt;=5),1,0))</f>
        <v/>
      </c>
      <c r="AA14">
        <f>IF(MAX(ABS(G14-H14),ABS(H14-I14),ABS(I14-J14),ABS(J14-K14),ABS(K14-L14),ABS(L14-M14),ABS(M14-N14))&gt;40,1,0)</f>
        <v/>
      </c>
    </row>
    <row r="15">
      <c r="X15">
        <f>IF(COUNT(H15,I15,J15,L15)&lt;4,"",ROUND(AVERAGE(H15,I15,J15,L15),1))</f>
        <v/>
      </c>
      <c r="Y15">
        <f>IF(X15="","",IF(X15&lt;26,"normal",IF(X15&lt;41,"mild",IF(X15&lt;61,"moderate",IF(X15&lt;81,"severe","profound")))))</f>
        <v/>
      </c>
      <c r="Z15">
        <f>IF(X15="","",IF(OR(ABS(X15-25)&lt;=5,ABS(X15-40)&lt;=5,ABS(X15-60)&lt;=5,ABS(X15-80)&lt;=5),1,0))</f>
        <v/>
      </c>
      <c r="AA15">
        <f>IF(MAX(ABS(G15-H15),ABS(H15-I15),ABS(I15-J15),ABS(J15-K15),ABS(K15-L15),ABS(L15-M15),ABS(M15-N15))&gt;40,1,0)</f>
        <v/>
      </c>
    </row>
    <row r="16">
      <c r="X16">
        <f>IF(COUNT(H16,I16,J16,L16)&lt;4,"",ROUND(AVERAGE(H16,I16,J16,L16),1))</f>
        <v/>
      </c>
      <c r="Y16">
        <f>IF(X16="","",IF(X16&lt;26,"normal",IF(X16&lt;41,"mild",IF(X16&lt;61,"moderate",IF(X16&lt;81,"severe","profound")))))</f>
        <v/>
      </c>
      <c r="Z16">
        <f>IF(X16="","",IF(OR(ABS(X16-25)&lt;=5,ABS(X16-40)&lt;=5,ABS(X16-60)&lt;=5,ABS(X16-80)&lt;=5),1,0))</f>
        <v/>
      </c>
      <c r="AA16">
        <f>IF(MAX(ABS(G16-H16),ABS(H16-I16),ABS(I16-J16),ABS(J16-K16),ABS(K16-L16),ABS(L16-M16),ABS(M16-N16))&gt;40,1,0)</f>
        <v/>
      </c>
    </row>
    <row r="17">
      <c r="X17">
        <f>IF(COUNT(H17,I17,J17,L17)&lt;4,"",ROUND(AVERAGE(H17,I17,J17,L17),1))</f>
        <v/>
      </c>
      <c r="Y17">
        <f>IF(X17="","",IF(X17&lt;26,"normal",IF(X17&lt;41,"mild",IF(X17&lt;61,"moderate",IF(X17&lt;81,"severe","profound")))))</f>
        <v/>
      </c>
      <c r="Z17">
        <f>IF(X17="","",IF(OR(ABS(X17-25)&lt;=5,ABS(X17-40)&lt;=5,ABS(X17-60)&lt;=5,ABS(X17-80)&lt;=5),1,0))</f>
        <v/>
      </c>
      <c r="AA17">
        <f>IF(MAX(ABS(G17-H17),ABS(H17-I17),ABS(I17-J17),ABS(J17-K17),ABS(K17-L17),ABS(L17-M17),ABS(M17-N17))&gt;40,1,0)</f>
        <v/>
      </c>
    </row>
    <row r="18">
      <c r="X18">
        <f>IF(COUNT(H18,I18,J18,L18)&lt;4,"",ROUND(AVERAGE(H18,I18,J18,L18),1))</f>
        <v/>
      </c>
      <c r="Y18">
        <f>IF(X18="","",IF(X18&lt;26,"normal",IF(X18&lt;41,"mild",IF(X18&lt;61,"moderate",IF(X18&lt;81,"severe","profound")))))</f>
        <v/>
      </c>
      <c r="Z18">
        <f>IF(X18="","",IF(OR(ABS(X18-25)&lt;=5,ABS(X18-40)&lt;=5,ABS(X18-60)&lt;=5,ABS(X18-80)&lt;=5),1,0))</f>
        <v/>
      </c>
      <c r="AA18">
        <f>IF(MAX(ABS(G18-H18),ABS(H18-I18),ABS(I18-J18),ABS(J18-K18),ABS(K18-L18),ABS(L18-M18),ABS(M18-N18))&gt;40,1,0)</f>
        <v/>
      </c>
    </row>
    <row r="19">
      <c r="X19">
        <f>IF(COUNT(H19,I19,J19,L19)&lt;4,"",ROUND(AVERAGE(H19,I19,J19,L19),1))</f>
        <v/>
      </c>
      <c r="Y19">
        <f>IF(X19="","",IF(X19&lt;26,"normal",IF(X19&lt;41,"mild",IF(X19&lt;61,"moderate",IF(X19&lt;81,"severe","profound")))))</f>
        <v/>
      </c>
      <c r="Z19">
        <f>IF(X19="","",IF(OR(ABS(X19-25)&lt;=5,ABS(X19-40)&lt;=5,ABS(X19-60)&lt;=5,ABS(X19-80)&lt;=5),1,0))</f>
        <v/>
      </c>
      <c r="AA19">
        <f>IF(MAX(ABS(G19-H19),ABS(H19-I19),ABS(I19-J19),ABS(J19-K19),ABS(K19-L19),ABS(L19-M19),ABS(M19-N19))&gt;40,1,0)</f>
        <v/>
      </c>
    </row>
    <row r="20">
      <c r="X20">
        <f>IF(COUNT(H20,I20,J20,L20)&lt;4,"",ROUND(AVERAGE(H20,I20,J20,L20),1))</f>
        <v/>
      </c>
      <c r="Y20">
        <f>IF(X20="","",IF(X20&lt;26,"normal",IF(X20&lt;41,"mild",IF(X20&lt;61,"moderate",IF(X20&lt;81,"severe","profound")))))</f>
        <v/>
      </c>
      <c r="Z20">
        <f>IF(X20="","",IF(OR(ABS(X20-25)&lt;=5,ABS(X20-40)&lt;=5,ABS(X20-60)&lt;=5,ABS(X20-80)&lt;=5),1,0))</f>
        <v/>
      </c>
      <c r="AA20">
        <f>IF(MAX(ABS(G20-H20),ABS(H20-I20),ABS(I20-J20),ABS(J20-K20),ABS(K20-L20),ABS(L20-M20),ABS(M20-N20))&gt;40,1,0)</f>
        <v/>
      </c>
    </row>
    <row r="21">
      <c r="X21">
        <f>IF(COUNT(H21,I21,J21,L21)&lt;4,"",ROUND(AVERAGE(H21,I21,J21,L21),1))</f>
        <v/>
      </c>
      <c r="Y21">
        <f>IF(X21="","",IF(X21&lt;26,"normal",IF(X21&lt;41,"mild",IF(X21&lt;61,"moderate",IF(X21&lt;81,"severe","profound")))))</f>
        <v/>
      </c>
      <c r="Z21">
        <f>IF(X21="","",IF(OR(ABS(X21-25)&lt;=5,ABS(X21-40)&lt;=5,ABS(X21-60)&lt;=5,ABS(X21-80)&lt;=5),1,0))</f>
        <v/>
      </c>
      <c r="AA21">
        <f>IF(MAX(ABS(G21-H21),ABS(H21-I21),ABS(I21-J21),ABS(J21-K21),ABS(K21-L21),ABS(L21-M21),ABS(M21-N21))&gt;40,1,0)</f>
        <v/>
      </c>
    </row>
    <row r="22">
      <c r="X22">
        <f>IF(COUNT(H22,I22,J22,L22)&lt;4,"",ROUND(AVERAGE(H22,I22,J22,L22),1))</f>
        <v/>
      </c>
      <c r="Y22">
        <f>IF(X22="","",IF(X22&lt;26,"normal",IF(X22&lt;41,"mild",IF(X22&lt;61,"moderate",IF(X22&lt;81,"severe","profound")))))</f>
        <v/>
      </c>
      <c r="Z22">
        <f>IF(X22="","",IF(OR(ABS(X22-25)&lt;=5,ABS(X22-40)&lt;=5,ABS(X22-60)&lt;=5,ABS(X22-80)&lt;=5),1,0))</f>
        <v/>
      </c>
      <c r="AA22">
        <f>IF(MAX(ABS(G22-H22),ABS(H22-I22),ABS(I22-J22),ABS(J22-K22),ABS(K22-L22),ABS(L22-M22),ABS(M22-N22))&gt;40,1,0)</f>
        <v/>
      </c>
    </row>
    <row r="23">
      <c r="X23">
        <f>IF(COUNT(H23,I23,J23,L23)&lt;4,"",ROUND(AVERAGE(H23,I23,J23,L23),1))</f>
        <v/>
      </c>
      <c r="Y23">
        <f>IF(X23="","",IF(X23&lt;26,"normal",IF(X23&lt;41,"mild",IF(X23&lt;61,"moderate",IF(X23&lt;81,"severe","profound")))))</f>
        <v/>
      </c>
      <c r="Z23">
        <f>IF(X23="","",IF(OR(ABS(X23-25)&lt;=5,ABS(X23-40)&lt;=5,ABS(X23-60)&lt;=5,ABS(X23-80)&lt;=5),1,0))</f>
        <v/>
      </c>
      <c r="AA23">
        <f>IF(MAX(ABS(G23-H23),ABS(H23-I23),ABS(I23-J23),ABS(J23-K23),ABS(K23-L23),ABS(L23-M23),ABS(M23-N23))&gt;40,1,0)</f>
        <v/>
      </c>
    </row>
    <row r="24">
      <c r="X24">
        <f>IF(COUNT(H24,I24,J24,L24)&lt;4,"",ROUND(AVERAGE(H24,I24,J24,L24),1))</f>
        <v/>
      </c>
      <c r="Y24">
        <f>IF(X24="","",IF(X24&lt;26,"normal",IF(X24&lt;41,"mild",IF(X24&lt;61,"moderate",IF(X24&lt;81,"severe","profound")))))</f>
        <v/>
      </c>
      <c r="Z24">
        <f>IF(X24="","",IF(OR(ABS(X24-25)&lt;=5,ABS(X24-40)&lt;=5,ABS(X24-60)&lt;=5,ABS(X24-80)&lt;=5),1,0))</f>
        <v/>
      </c>
      <c r="AA24">
        <f>IF(MAX(ABS(G24-H24),ABS(H24-I24),ABS(I24-J24),ABS(J24-K24),ABS(K24-L24),ABS(L24-M24),ABS(M24-N24))&gt;40,1,0)</f>
        <v/>
      </c>
    </row>
    <row r="25">
      <c r="X25">
        <f>IF(COUNT(H25,I25,J25,L25)&lt;4,"",ROUND(AVERAGE(H25,I25,J25,L25),1))</f>
        <v/>
      </c>
      <c r="Y25">
        <f>IF(X25="","",IF(X25&lt;26,"normal",IF(X25&lt;41,"mild",IF(X25&lt;61,"moderate",IF(X25&lt;81,"severe","profound")))))</f>
        <v/>
      </c>
      <c r="Z25">
        <f>IF(X25="","",IF(OR(ABS(X25-25)&lt;=5,ABS(X25-40)&lt;=5,ABS(X25-60)&lt;=5,ABS(X25-80)&lt;=5),1,0))</f>
        <v/>
      </c>
      <c r="AA25">
        <f>IF(MAX(ABS(G25-H25),ABS(H25-I25),ABS(I25-J25),ABS(J25-K25),ABS(K25-L25),ABS(L25-M25),ABS(M25-N25))&gt;40,1,0)</f>
        <v/>
      </c>
    </row>
    <row r="26">
      <c r="X26">
        <f>IF(COUNT(H26,I26,J26,L26)&lt;4,"",ROUND(AVERAGE(H26,I26,J26,L26),1))</f>
        <v/>
      </c>
      <c r="Y26">
        <f>IF(X26="","",IF(X26&lt;26,"normal",IF(X26&lt;41,"mild",IF(X26&lt;61,"moderate",IF(X26&lt;81,"severe","profound")))))</f>
        <v/>
      </c>
      <c r="Z26">
        <f>IF(X26="","",IF(OR(ABS(X26-25)&lt;=5,ABS(X26-40)&lt;=5,ABS(X26-60)&lt;=5,ABS(X26-80)&lt;=5),1,0))</f>
        <v/>
      </c>
      <c r="AA26">
        <f>IF(MAX(ABS(G26-H26),ABS(H26-I26),ABS(I26-J26),ABS(J26-K26),ABS(K26-L26),ABS(L26-M26),ABS(M26-N26))&gt;40,1,0)</f>
        <v/>
      </c>
    </row>
    <row r="27">
      <c r="X27">
        <f>IF(COUNT(H27,I27,J27,L27)&lt;4,"",ROUND(AVERAGE(H27,I27,J27,L27),1))</f>
        <v/>
      </c>
      <c r="Y27">
        <f>IF(X27="","",IF(X27&lt;26,"normal",IF(X27&lt;41,"mild",IF(X27&lt;61,"moderate",IF(X27&lt;81,"severe","profound")))))</f>
        <v/>
      </c>
      <c r="Z27">
        <f>IF(X27="","",IF(OR(ABS(X27-25)&lt;=5,ABS(X27-40)&lt;=5,ABS(X27-60)&lt;=5,ABS(X27-80)&lt;=5),1,0))</f>
        <v/>
      </c>
      <c r="AA27">
        <f>IF(MAX(ABS(G27-H27),ABS(H27-I27),ABS(I27-J27),ABS(J27-K27),ABS(K27-L27),ABS(L27-M27),ABS(M27-N27))&gt;40,1,0)</f>
        <v/>
      </c>
    </row>
    <row r="28">
      <c r="X28">
        <f>IF(COUNT(H28,I28,J28,L28)&lt;4,"",ROUND(AVERAGE(H28,I28,J28,L28),1))</f>
        <v/>
      </c>
      <c r="Y28">
        <f>IF(X28="","",IF(X28&lt;26,"normal",IF(X28&lt;41,"mild",IF(X28&lt;61,"moderate",IF(X28&lt;81,"severe","profound")))))</f>
        <v/>
      </c>
      <c r="Z28">
        <f>IF(X28="","",IF(OR(ABS(X28-25)&lt;=5,ABS(X28-40)&lt;=5,ABS(X28-60)&lt;=5,ABS(X28-80)&lt;=5),1,0))</f>
        <v/>
      </c>
      <c r="AA28">
        <f>IF(MAX(ABS(G28-H28),ABS(H28-I28),ABS(I28-J28),ABS(J28-K28),ABS(K28-L28),ABS(L28-M28),ABS(M28-N28))&gt;40,1,0)</f>
        <v/>
      </c>
    </row>
    <row r="29">
      <c r="X29">
        <f>IF(COUNT(H29,I29,J29,L29)&lt;4,"",ROUND(AVERAGE(H29,I29,J29,L29),1))</f>
        <v/>
      </c>
      <c r="Y29">
        <f>IF(X29="","",IF(X29&lt;26,"normal",IF(X29&lt;41,"mild",IF(X29&lt;61,"moderate",IF(X29&lt;81,"severe","profound")))))</f>
        <v/>
      </c>
      <c r="Z29">
        <f>IF(X29="","",IF(OR(ABS(X29-25)&lt;=5,ABS(X29-40)&lt;=5,ABS(X29-60)&lt;=5,ABS(X29-80)&lt;=5),1,0))</f>
        <v/>
      </c>
      <c r="AA29">
        <f>IF(MAX(ABS(G29-H29),ABS(H29-I29),ABS(I29-J29),ABS(J29-K29),ABS(K29-L29),ABS(L29-M29),ABS(M29-N29))&gt;40,1,0)</f>
        <v/>
      </c>
    </row>
    <row r="30">
      <c r="X30">
        <f>IF(COUNT(H30,I30,J30,L30)&lt;4,"",ROUND(AVERAGE(H30,I30,J30,L30),1))</f>
        <v/>
      </c>
      <c r="Y30">
        <f>IF(X30="","",IF(X30&lt;26,"normal",IF(X30&lt;41,"mild",IF(X30&lt;61,"moderate",IF(X30&lt;81,"severe","profound")))))</f>
        <v/>
      </c>
      <c r="Z30">
        <f>IF(X30="","",IF(OR(ABS(X30-25)&lt;=5,ABS(X30-40)&lt;=5,ABS(X30-60)&lt;=5,ABS(X30-80)&lt;=5),1,0))</f>
        <v/>
      </c>
      <c r="AA30">
        <f>IF(MAX(ABS(G30-H30),ABS(H30-I30),ABS(I30-J30),ABS(J30-K30),ABS(K30-L30),ABS(L30-M30),ABS(M30-N30))&gt;40,1,0)</f>
        <v/>
      </c>
    </row>
    <row r="31">
      <c r="X31">
        <f>IF(COUNT(H31,I31,J31,L31)&lt;4,"",ROUND(AVERAGE(H31,I31,J31,L31),1))</f>
        <v/>
      </c>
      <c r="Y31">
        <f>IF(X31="","",IF(X31&lt;26,"normal",IF(X31&lt;41,"mild",IF(X31&lt;61,"moderate",IF(X31&lt;81,"severe","profound")))))</f>
        <v/>
      </c>
      <c r="Z31">
        <f>IF(X31="","",IF(OR(ABS(X31-25)&lt;=5,ABS(X31-40)&lt;=5,ABS(X31-60)&lt;=5,ABS(X31-80)&lt;=5),1,0))</f>
        <v/>
      </c>
      <c r="AA31">
        <f>IF(MAX(ABS(G31-H31),ABS(H31-I31),ABS(I31-J31),ABS(J31-K31),ABS(K31-L31),ABS(L31-M31),ABS(M31-N31))&gt;40,1,0)</f>
        <v/>
      </c>
    </row>
    <row r="32">
      <c r="X32">
        <f>IF(COUNT(H32,I32,J32,L32)&lt;4,"",ROUND(AVERAGE(H32,I32,J32,L32),1))</f>
        <v/>
      </c>
      <c r="Y32">
        <f>IF(X32="","",IF(X32&lt;26,"normal",IF(X32&lt;41,"mild",IF(X32&lt;61,"moderate",IF(X32&lt;81,"severe","profound")))))</f>
        <v/>
      </c>
      <c r="Z32">
        <f>IF(X32="","",IF(OR(ABS(X32-25)&lt;=5,ABS(X32-40)&lt;=5,ABS(X32-60)&lt;=5,ABS(X32-80)&lt;=5),1,0))</f>
        <v/>
      </c>
      <c r="AA32">
        <f>IF(MAX(ABS(G32-H32),ABS(H32-I32),ABS(I32-J32),ABS(J32-K32),ABS(K32-L32),ABS(L32-M32),ABS(M32-N32))&gt;40,1,0)</f>
        <v/>
      </c>
    </row>
    <row r="33">
      <c r="X33">
        <f>IF(COUNT(H33,I33,J33,L33)&lt;4,"",ROUND(AVERAGE(H33,I33,J33,L33),1))</f>
        <v/>
      </c>
      <c r="Y33">
        <f>IF(X33="","",IF(X33&lt;26,"normal",IF(X33&lt;41,"mild",IF(X33&lt;61,"moderate",IF(X33&lt;81,"severe","profound")))))</f>
        <v/>
      </c>
      <c r="Z33">
        <f>IF(X33="","",IF(OR(ABS(X33-25)&lt;=5,ABS(X33-40)&lt;=5,ABS(X33-60)&lt;=5,ABS(X33-80)&lt;=5),1,0))</f>
        <v/>
      </c>
      <c r="AA33">
        <f>IF(MAX(ABS(G33-H33),ABS(H33-I33),ABS(I33-J33),ABS(J33-K33),ABS(K33-L33),ABS(L33-M33),ABS(M33-N33))&gt;40,1,0)</f>
        <v/>
      </c>
    </row>
    <row r="34">
      <c r="X34">
        <f>IF(COUNT(H34,I34,J34,L34)&lt;4,"",ROUND(AVERAGE(H34,I34,J34,L34),1))</f>
        <v/>
      </c>
      <c r="Y34">
        <f>IF(X34="","",IF(X34&lt;26,"normal",IF(X34&lt;41,"mild",IF(X34&lt;61,"moderate",IF(X34&lt;81,"severe","profound")))))</f>
        <v/>
      </c>
      <c r="Z34">
        <f>IF(X34="","",IF(OR(ABS(X34-25)&lt;=5,ABS(X34-40)&lt;=5,ABS(X34-60)&lt;=5,ABS(X34-80)&lt;=5),1,0))</f>
        <v/>
      </c>
      <c r="AA34">
        <f>IF(MAX(ABS(G34-H34),ABS(H34-I34),ABS(I34-J34),ABS(J34-K34),ABS(K34-L34),ABS(L34-M34),ABS(M34-N34))&gt;40,1,0)</f>
        <v/>
      </c>
    </row>
    <row r="35">
      <c r="X35">
        <f>IF(COUNT(H35,I35,J35,L35)&lt;4,"",ROUND(AVERAGE(H35,I35,J35,L35),1))</f>
        <v/>
      </c>
      <c r="Y35">
        <f>IF(X35="","",IF(X35&lt;26,"normal",IF(X35&lt;41,"mild",IF(X35&lt;61,"moderate",IF(X35&lt;81,"severe","profound")))))</f>
        <v/>
      </c>
      <c r="Z35">
        <f>IF(X35="","",IF(OR(ABS(X35-25)&lt;=5,ABS(X35-40)&lt;=5,ABS(X35-60)&lt;=5,ABS(X35-80)&lt;=5),1,0))</f>
        <v/>
      </c>
      <c r="AA35">
        <f>IF(MAX(ABS(G35-H35),ABS(H35-I35),ABS(I35-J35),ABS(J35-K35),ABS(K35-L35),ABS(L35-M35),ABS(M35-N35))&gt;40,1,0)</f>
        <v/>
      </c>
    </row>
    <row r="36">
      <c r="X36">
        <f>IF(COUNT(H36,I36,J36,L36)&lt;4,"",ROUND(AVERAGE(H36,I36,J36,L36),1))</f>
        <v/>
      </c>
      <c r="Y36">
        <f>IF(X36="","",IF(X36&lt;26,"normal",IF(X36&lt;41,"mild",IF(X36&lt;61,"moderate",IF(X36&lt;81,"severe","profound")))))</f>
        <v/>
      </c>
      <c r="Z36">
        <f>IF(X36="","",IF(OR(ABS(X36-25)&lt;=5,ABS(X36-40)&lt;=5,ABS(X36-60)&lt;=5,ABS(X36-80)&lt;=5),1,0))</f>
        <v/>
      </c>
      <c r="AA36">
        <f>IF(MAX(ABS(G36-H36),ABS(H36-I36),ABS(I36-J36),ABS(J36-K36),ABS(K36-L36),ABS(L36-M36),ABS(M36-N36))&gt;40,1,0)</f>
        <v/>
      </c>
    </row>
    <row r="37">
      <c r="X37">
        <f>IF(COUNT(H37,I37,J37,L37)&lt;4,"",ROUND(AVERAGE(H37,I37,J37,L37),1))</f>
        <v/>
      </c>
      <c r="Y37">
        <f>IF(X37="","",IF(X37&lt;26,"normal",IF(X37&lt;41,"mild",IF(X37&lt;61,"moderate",IF(X37&lt;81,"severe","profound")))))</f>
        <v/>
      </c>
      <c r="Z37">
        <f>IF(X37="","",IF(OR(ABS(X37-25)&lt;=5,ABS(X37-40)&lt;=5,ABS(X37-60)&lt;=5,ABS(X37-80)&lt;=5),1,0))</f>
        <v/>
      </c>
      <c r="AA37">
        <f>IF(MAX(ABS(G37-H37),ABS(H37-I37),ABS(I37-J37),ABS(J37-K37),ABS(K37-L37),ABS(L37-M37),ABS(M37-N37))&gt;40,1,0)</f>
        <v/>
      </c>
    </row>
    <row r="38">
      <c r="X38">
        <f>IF(COUNT(H38,I38,J38,L38)&lt;4,"",ROUND(AVERAGE(H38,I38,J38,L38),1))</f>
        <v/>
      </c>
      <c r="Y38">
        <f>IF(X38="","",IF(X38&lt;26,"normal",IF(X38&lt;41,"mild",IF(X38&lt;61,"moderate",IF(X38&lt;81,"severe","profound")))))</f>
        <v/>
      </c>
      <c r="Z38">
        <f>IF(X38="","",IF(OR(ABS(X38-25)&lt;=5,ABS(X38-40)&lt;=5,ABS(X38-60)&lt;=5,ABS(X38-80)&lt;=5),1,0))</f>
        <v/>
      </c>
      <c r="AA38">
        <f>IF(MAX(ABS(G38-H38),ABS(H38-I38),ABS(I38-J38),ABS(J38-K38),ABS(K38-L38),ABS(L38-M38),ABS(M38-N38))&gt;40,1,0)</f>
        <v/>
      </c>
    </row>
    <row r="39">
      <c r="X39">
        <f>IF(COUNT(H39,I39,J39,L39)&lt;4,"",ROUND(AVERAGE(H39,I39,J39,L39),1))</f>
        <v/>
      </c>
      <c r="Y39">
        <f>IF(X39="","",IF(X39&lt;26,"normal",IF(X39&lt;41,"mild",IF(X39&lt;61,"moderate",IF(X39&lt;81,"severe","profound")))))</f>
        <v/>
      </c>
      <c r="Z39">
        <f>IF(X39="","",IF(OR(ABS(X39-25)&lt;=5,ABS(X39-40)&lt;=5,ABS(X39-60)&lt;=5,ABS(X39-80)&lt;=5),1,0))</f>
        <v/>
      </c>
      <c r="AA39">
        <f>IF(MAX(ABS(G39-H39),ABS(H39-I39),ABS(I39-J39),ABS(J39-K39),ABS(K39-L39),ABS(L39-M39),ABS(M39-N39))&gt;40,1,0)</f>
        <v/>
      </c>
    </row>
    <row r="40">
      <c r="X40">
        <f>IF(COUNT(H40,I40,J40,L40)&lt;4,"",ROUND(AVERAGE(H40,I40,J40,L40),1))</f>
        <v/>
      </c>
      <c r="Y40">
        <f>IF(X40="","",IF(X40&lt;26,"normal",IF(X40&lt;41,"mild",IF(X40&lt;61,"moderate",IF(X40&lt;81,"severe","profound")))))</f>
        <v/>
      </c>
      <c r="Z40">
        <f>IF(X40="","",IF(OR(ABS(X40-25)&lt;=5,ABS(X40-40)&lt;=5,ABS(X40-60)&lt;=5,ABS(X40-80)&lt;=5),1,0))</f>
        <v/>
      </c>
      <c r="AA40">
        <f>IF(MAX(ABS(G40-H40),ABS(H40-I40),ABS(I40-J40),ABS(J40-K40),ABS(K40-L40),ABS(L40-M40),ABS(M40-N40))&gt;40,1,0)</f>
        <v/>
      </c>
    </row>
    <row r="41">
      <c r="X41">
        <f>IF(COUNT(H41,I41,J41,L41)&lt;4,"",ROUND(AVERAGE(H41,I41,J41,L41),1))</f>
        <v/>
      </c>
      <c r="Y41">
        <f>IF(X41="","",IF(X41&lt;26,"normal",IF(X41&lt;41,"mild",IF(X41&lt;61,"moderate",IF(X41&lt;81,"severe","profound")))))</f>
        <v/>
      </c>
      <c r="Z41">
        <f>IF(X41="","",IF(OR(ABS(X41-25)&lt;=5,ABS(X41-40)&lt;=5,ABS(X41-60)&lt;=5,ABS(X41-80)&lt;=5),1,0))</f>
        <v/>
      </c>
      <c r="AA41">
        <f>IF(MAX(ABS(G41-H41),ABS(H41-I41),ABS(I41-J41),ABS(J41-K41),ABS(K41-L41),ABS(L41-M41),ABS(M41-N41))&gt;40,1,0)</f>
        <v/>
      </c>
    </row>
    <row r="42">
      <c r="X42">
        <f>IF(COUNT(H42,I42,J42,L42)&lt;4,"",ROUND(AVERAGE(H42,I42,J42,L42),1))</f>
        <v/>
      </c>
      <c r="Y42">
        <f>IF(X42="","",IF(X42&lt;26,"normal",IF(X42&lt;41,"mild",IF(X42&lt;61,"moderate",IF(X42&lt;81,"severe","profound")))))</f>
        <v/>
      </c>
      <c r="Z42">
        <f>IF(X42="","",IF(OR(ABS(X42-25)&lt;=5,ABS(X42-40)&lt;=5,ABS(X42-60)&lt;=5,ABS(X42-80)&lt;=5),1,0))</f>
        <v/>
      </c>
      <c r="AA42">
        <f>IF(MAX(ABS(G42-H42),ABS(H42-I42),ABS(I42-J42),ABS(J42-K42),ABS(K42-L42),ABS(L42-M42),ABS(M42-N42))&gt;40,1,0)</f>
        <v/>
      </c>
    </row>
    <row r="43">
      <c r="X43">
        <f>IF(COUNT(H43,I43,J43,L43)&lt;4,"",ROUND(AVERAGE(H43,I43,J43,L43),1))</f>
        <v/>
      </c>
      <c r="Y43">
        <f>IF(X43="","",IF(X43&lt;26,"normal",IF(X43&lt;41,"mild",IF(X43&lt;61,"moderate",IF(X43&lt;81,"severe","profound")))))</f>
        <v/>
      </c>
      <c r="Z43">
        <f>IF(X43="","",IF(OR(ABS(X43-25)&lt;=5,ABS(X43-40)&lt;=5,ABS(X43-60)&lt;=5,ABS(X43-80)&lt;=5),1,0))</f>
        <v/>
      </c>
      <c r="AA43">
        <f>IF(MAX(ABS(G43-H43),ABS(H43-I43),ABS(I43-J43),ABS(J43-K43),ABS(K43-L43),ABS(L43-M43),ABS(M43-N43))&gt;40,1,0)</f>
        <v/>
      </c>
    </row>
    <row r="44">
      <c r="X44">
        <f>IF(COUNT(H44,I44,J44,L44)&lt;4,"",ROUND(AVERAGE(H44,I44,J44,L44),1))</f>
        <v/>
      </c>
      <c r="Y44">
        <f>IF(X44="","",IF(X44&lt;26,"normal",IF(X44&lt;41,"mild",IF(X44&lt;61,"moderate",IF(X44&lt;81,"severe","profound")))))</f>
        <v/>
      </c>
      <c r="Z44">
        <f>IF(X44="","",IF(OR(ABS(X44-25)&lt;=5,ABS(X44-40)&lt;=5,ABS(X44-60)&lt;=5,ABS(X44-80)&lt;=5),1,0))</f>
        <v/>
      </c>
      <c r="AA44">
        <f>IF(MAX(ABS(G44-H44),ABS(H44-I44),ABS(I44-J44),ABS(J44-K44),ABS(K44-L44),ABS(L44-M44),ABS(M44-N44))&gt;40,1,0)</f>
        <v/>
      </c>
    </row>
    <row r="45">
      <c r="X45">
        <f>IF(COUNT(H45,I45,J45,L45)&lt;4,"",ROUND(AVERAGE(H45,I45,J45,L45),1))</f>
        <v/>
      </c>
      <c r="Y45">
        <f>IF(X45="","",IF(X45&lt;26,"normal",IF(X45&lt;41,"mild",IF(X45&lt;61,"moderate",IF(X45&lt;81,"severe","profound")))))</f>
        <v/>
      </c>
      <c r="Z45">
        <f>IF(X45="","",IF(OR(ABS(X45-25)&lt;=5,ABS(X45-40)&lt;=5,ABS(X45-60)&lt;=5,ABS(X45-80)&lt;=5),1,0))</f>
        <v/>
      </c>
      <c r="AA45">
        <f>IF(MAX(ABS(G45-H45),ABS(H45-I45),ABS(I45-J45),ABS(J45-K45),ABS(K45-L45),ABS(L45-M45),ABS(M45-N45))&gt;40,1,0)</f>
        <v/>
      </c>
    </row>
    <row r="46">
      <c r="X46">
        <f>IF(COUNT(H46,I46,J46,L46)&lt;4,"",ROUND(AVERAGE(H46,I46,J46,L46),1))</f>
        <v/>
      </c>
      <c r="Y46">
        <f>IF(X46="","",IF(X46&lt;26,"normal",IF(X46&lt;41,"mild",IF(X46&lt;61,"moderate",IF(X46&lt;81,"severe","profound")))))</f>
        <v/>
      </c>
      <c r="Z46">
        <f>IF(X46="","",IF(OR(ABS(X46-25)&lt;=5,ABS(X46-40)&lt;=5,ABS(X46-60)&lt;=5,ABS(X46-80)&lt;=5),1,0))</f>
        <v/>
      </c>
      <c r="AA46">
        <f>IF(MAX(ABS(G46-H46),ABS(H46-I46),ABS(I46-J46),ABS(J46-K46),ABS(K46-L46),ABS(L46-M46),ABS(M46-N46))&gt;40,1,0)</f>
        <v/>
      </c>
    </row>
    <row r="47">
      <c r="X47">
        <f>IF(COUNT(H47,I47,J47,L47)&lt;4,"",ROUND(AVERAGE(H47,I47,J47,L47),1))</f>
        <v/>
      </c>
      <c r="Y47">
        <f>IF(X47="","",IF(X47&lt;26,"normal",IF(X47&lt;41,"mild",IF(X47&lt;61,"moderate",IF(X47&lt;81,"severe","profound")))))</f>
        <v/>
      </c>
      <c r="Z47">
        <f>IF(X47="","",IF(OR(ABS(X47-25)&lt;=5,ABS(X47-40)&lt;=5,ABS(X47-60)&lt;=5,ABS(X47-80)&lt;=5),1,0))</f>
        <v/>
      </c>
      <c r="AA47">
        <f>IF(MAX(ABS(G47-H47),ABS(H47-I47),ABS(I47-J47),ABS(J47-K47),ABS(K47-L47),ABS(L47-M47),ABS(M47-N47))&gt;40,1,0)</f>
        <v/>
      </c>
    </row>
    <row r="48">
      <c r="X48">
        <f>IF(COUNT(H48,I48,J48,L48)&lt;4,"",ROUND(AVERAGE(H48,I48,J48,L48),1))</f>
        <v/>
      </c>
      <c r="Y48">
        <f>IF(X48="","",IF(X48&lt;26,"normal",IF(X48&lt;41,"mild",IF(X48&lt;61,"moderate",IF(X48&lt;81,"severe","profound")))))</f>
        <v/>
      </c>
      <c r="Z48">
        <f>IF(X48="","",IF(OR(ABS(X48-25)&lt;=5,ABS(X48-40)&lt;=5,ABS(X48-60)&lt;=5,ABS(X48-80)&lt;=5),1,0))</f>
        <v/>
      </c>
      <c r="AA48">
        <f>IF(MAX(ABS(G48-H48),ABS(H48-I48),ABS(I48-J48),ABS(J48-K48),ABS(K48-L48),ABS(L48-M48),ABS(M48-N48))&gt;40,1,0)</f>
        <v/>
      </c>
    </row>
    <row r="49">
      <c r="X49">
        <f>IF(COUNT(H49,I49,J49,L49)&lt;4,"",ROUND(AVERAGE(H49,I49,J49,L49),1))</f>
        <v/>
      </c>
      <c r="Y49">
        <f>IF(X49="","",IF(X49&lt;26,"normal",IF(X49&lt;41,"mild",IF(X49&lt;61,"moderate",IF(X49&lt;81,"severe","profound")))))</f>
        <v/>
      </c>
      <c r="Z49">
        <f>IF(X49="","",IF(OR(ABS(X49-25)&lt;=5,ABS(X49-40)&lt;=5,ABS(X49-60)&lt;=5,ABS(X49-80)&lt;=5),1,0))</f>
        <v/>
      </c>
      <c r="AA49">
        <f>IF(MAX(ABS(G49-H49),ABS(H49-I49),ABS(I49-J49),ABS(J49-K49),ABS(K49-L49),ABS(L49-M49),ABS(M49-N49))&gt;40,1,0)</f>
        <v/>
      </c>
    </row>
    <row r="50">
      <c r="X50">
        <f>IF(COUNT(H50,I50,J50,L50)&lt;4,"",ROUND(AVERAGE(H50,I50,J50,L50),1))</f>
        <v/>
      </c>
      <c r="Y50">
        <f>IF(X50="","",IF(X50&lt;26,"normal",IF(X50&lt;41,"mild",IF(X50&lt;61,"moderate",IF(X50&lt;81,"severe","profound")))))</f>
        <v/>
      </c>
      <c r="Z50">
        <f>IF(X50="","",IF(OR(ABS(X50-25)&lt;=5,ABS(X50-40)&lt;=5,ABS(X50-60)&lt;=5,ABS(X50-80)&lt;=5),1,0))</f>
        <v/>
      </c>
      <c r="AA50">
        <f>IF(MAX(ABS(G50-H50),ABS(H50-I50),ABS(I50-J50),ABS(J50-K50),ABS(K50-L50),ABS(L50-M50),ABS(M50-N50))&gt;40,1,0)</f>
        <v/>
      </c>
    </row>
    <row r="51">
      <c r="X51">
        <f>IF(COUNT(H51,I51,J51,L51)&lt;4,"",ROUND(AVERAGE(H51,I51,J51,L51),1))</f>
        <v/>
      </c>
      <c r="Y51">
        <f>IF(X51="","",IF(X51&lt;26,"normal",IF(X51&lt;41,"mild",IF(X51&lt;61,"moderate",IF(X51&lt;81,"severe","profound")))))</f>
        <v/>
      </c>
      <c r="Z51">
        <f>IF(X51="","",IF(OR(ABS(X51-25)&lt;=5,ABS(X51-40)&lt;=5,ABS(X51-60)&lt;=5,ABS(X51-80)&lt;=5),1,0))</f>
        <v/>
      </c>
      <c r="AA51">
        <f>IF(MAX(ABS(G51-H51),ABS(H51-I51),ABS(I51-J51),ABS(J51-K51),ABS(K51-L51),ABS(L51-M51),ABS(M51-N51))&gt;40,1,0)</f>
        <v/>
      </c>
    </row>
    <row r="52">
      <c r="X52">
        <f>IF(COUNT(H52,I52,J52,L52)&lt;4,"",ROUND(AVERAGE(H52,I52,J52,L52),1))</f>
        <v/>
      </c>
      <c r="Y52">
        <f>IF(X52="","",IF(X52&lt;26,"normal",IF(X52&lt;41,"mild",IF(X52&lt;61,"moderate",IF(X52&lt;81,"severe","profound")))))</f>
        <v/>
      </c>
      <c r="Z52">
        <f>IF(X52="","",IF(OR(ABS(X52-25)&lt;=5,ABS(X52-40)&lt;=5,ABS(X52-60)&lt;=5,ABS(X52-80)&lt;=5),1,0))</f>
        <v/>
      </c>
      <c r="AA52">
        <f>IF(MAX(ABS(G52-H52),ABS(H52-I52),ABS(I52-J52),ABS(J52-K52),ABS(K52-L52),ABS(L52-M52),ABS(M52-N52))&gt;40,1,0)</f>
        <v/>
      </c>
    </row>
    <row r="53">
      <c r="X53">
        <f>IF(COUNT(H53,I53,J53,L53)&lt;4,"",ROUND(AVERAGE(H53,I53,J53,L53),1))</f>
        <v/>
      </c>
      <c r="Y53">
        <f>IF(X53="","",IF(X53&lt;26,"normal",IF(X53&lt;41,"mild",IF(X53&lt;61,"moderate",IF(X53&lt;81,"severe","profound")))))</f>
        <v/>
      </c>
      <c r="Z53">
        <f>IF(X53="","",IF(OR(ABS(X53-25)&lt;=5,ABS(X53-40)&lt;=5,ABS(X53-60)&lt;=5,ABS(X53-80)&lt;=5),1,0))</f>
        <v/>
      </c>
      <c r="AA53">
        <f>IF(MAX(ABS(G53-H53),ABS(H53-I53),ABS(I53-J53),ABS(J53-K53),ABS(K53-L53),ABS(L53-M53),ABS(M53-N53))&gt;40,1,0)</f>
        <v/>
      </c>
    </row>
    <row r="54">
      <c r="X54">
        <f>IF(COUNT(H54,I54,J54,L54)&lt;4,"",ROUND(AVERAGE(H54,I54,J54,L54),1))</f>
        <v/>
      </c>
      <c r="Y54">
        <f>IF(X54="","",IF(X54&lt;26,"normal",IF(X54&lt;41,"mild",IF(X54&lt;61,"moderate",IF(X54&lt;81,"severe","profound")))))</f>
        <v/>
      </c>
      <c r="Z54">
        <f>IF(X54="","",IF(OR(ABS(X54-25)&lt;=5,ABS(X54-40)&lt;=5,ABS(X54-60)&lt;=5,ABS(X54-80)&lt;=5),1,0))</f>
        <v/>
      </c>
      <c r="AA54">
        <f>IF(MAX(ABS(G54-H54),ABS(H54-I54),ABS(I54-J54),ABS(J54-K54),ABS(K54-L54),ABS(L54-M54),ABS(M54-N54))&gt;40,1,0)</f>
        <v/>
      </c>
    </row>
    <row r="55">
      <c r="X55">
        <f>IF(COUNT(H55,I55,J55,L55)&lt;4,"",ROUND(AVERAGE(H55,I55,J55,L55),1))</f>
        <v/>
      </c>
      <c r="Y55">
        <f>IF(X55="","",IF(X55&lt;26,"normal",IF(X55&lt;41,"mild",IF(X55&lt;61,"moderate",IF(X55&lt;81,"severe","profound")))))</f>
        <v/>
      </c>
      <c r="Z55">
        <f>IF(X55="","",IF(OR(ABS(X55-25)&lt;=5,ABS(X55-40)&lt;=5,ABS(X55-60)&lt;=5,ABS(X55-80)&lt;=5),1,0))</f>
        <v/>
      </c>
      <c r="AA55">
        <f>IF(MAX(ABS(G55-H55),ABS(H55-I55),ABS(I55-J55),ABS(J55-K55),ABS(K55-L55),ABS(L55-M55),ABS(M55-N55))&gt;40,1,0)</f>
        <v/>
      </c>
    </row>
    <row r="56">
      <c r="X56">
        <f>IF(COUNT(H56,I56,J56,L56)&lt;4,"",ROUND(AVERAGE(H56,I56,J56,L56),1))</f>
        <v/>
      </c>
      <c r="Y56">
        <f>IF(X56="","",IF(X56&lt;26,"normal",IF(X56&lt;41,"mild",IF(X56&lt;61,"moderate",IF(X56&lt;81,"severe","profound")))))</f>
        <v/>
      </c>
      <c r="Z56">
        <f>IF(X56="","",IF(OR(ABS(X56-25)&lt;=5,ABS(X56-40)&lt;=5,ABS(X56-60)&lt;=5,ABS(X56-80)&lt;=5),1,0))</f>
        <v/>
      </c>
      <c r="AA56">
        <f>IF(MAX(ABS(G56-H56),ABS(H56-I56),ABS(I56-J56),ABS(J56-K56),ABS(K56-L56),ABS(L56-M56),ABS(M56-N56))&gt;40,1,0)</f>
        <v/>
      </c>
    </row>
    <row r="57">
      <c r="X57">
        <f>IF(COUNT(H57,I57,J57,L57)&lt;4,"",ROUND(AVERAGE(H57,I57,J57,L57),1))</f>
        <v/>
      </c>
      <c r="Y57">
        <f>IF(X57="","",IF(X57&lt;26,"normal",IF(X57&lt;41,"mild",IF(X57&lt;61,"moderate",IF(X57&lt;81,"severe","profound")))))</f>
        <v/>
      </c>
      <c r="Z57">
        <f>IF(X57="","",IF(OR(ABS(X57-25)&lt;=5,ABS(X57-40)&lt;=5,ABS(X57-60)&lt;=5,ABS(X57-80)&lt;=5),1,0))</f>
        <v/>
      </c>
      <c r="AA57">
        <f>IF(MAX(ABS(G57-H57),ABS(H57-I57),ABS(I57-J57),ABS(J57-K57),ABS(K57-L57),ABS(L57-M57),ABS(M57-N57))&gt;40,1,0)</f>
        <v/>
      </c>
    </row>
    <row r="58">
      <c r="X58">
        <f>IF(COUNT(H58,I58,J58,L58)&lt;4,"",ROUND(AVERAGE(H58,I58,J58,L58),1))</f>
        <v/>
      </c>
      <c r="Y58">
        <f>IF(X58="","",IF(X58&lt;26,"normal",IF(X58&lt;41,"mild",IF(X58&lt;61,"moderate",IF(X58&lt;81,"severe","profound")))))</f>
        <v/>
      </c>
      <c r="Z58">
        <f>IF(X58="","",IF(OR(ABS(X58-25)&lt;=5,ABS(X58-40)&lt;=5,ABS(X58-60)&lt;=5,ABS(X58-80)&lt;=5),1,0))</f>
        <v/>
      </c>
      <c r="AA58">
        <f>IF(MAX(ABS(G58-H58),ABS(H58-I58),ABS(I58-J58),ABS(J58-K58),ABS(K58-L58),ABS(L58-M58),ABS(M58-N58))&gt;40,1,0)</f>
        <v/>
      </c>
    </row>
    <row r="59">
      <c r="X59">
        <f>IF(COUNT(H59,I59,J59,L59)&lt;4,"",ROUND(AVERAGE(H59,I59,J59,L59),1))</f>
        <v/>
      </c>
      <c r="Y59">
        <f>IF(X59="","",IF(X59&lt;26,"normal",IF(X59&lt;41,"mild",IF(X59&lt;61,"moderate",IF(X59&lt;81,"severe","profound")))))</f>
        <v/>
      </c>
      <c r="Z59">
        <f>IF(X59="","",IF(OR(ABS(X59-25)&lt;=5,ABS(X59-40)&lt;=5,ABS(X59-60)&lt;=5,ABS(X59-80)&lt;=5),1,0))</f>
        <v/>
      </c>
      <c r="AA59">
        <f>IF(MAX(ABS(G59-H59),ABS(H59-I59),ABS(I59-J59),ABS(J59-K59),ABS(K59-L59),ABS(L59-M59),ABS(M59-N59))&gt;40,1,0)</f>
        <v/>
      </c>
    </row>
    <row r="60">
      <c r="X60">
        <f>IF(COUNT(H60,I60,J60,L60)&lt;4,"",ROUND(AVERAGE(H60,I60,J60,L60),1))</f>
        <v/>
      </c>
      <c r="Y60">
        <f>IF(X60="","",IF(X60&lt;26,"normal",IF(X60&lt;41,"mild",IF(X60&lt;61,"moderate",IF(X60&lt;81,"severe","profound")))))</f>
        <v/>
      </c>
      <c r="Z60">
        <f>IF(X60="","",IF(OR(ABS(X60-25)&lt;=5,ABS(X60-40)&lt;=5,ABS(X60-60)&lt;=5,ABS(X60-80)&lt;=5),1,0))</f>
        <v/>
      </c>
      <c r="AA60">
        <f>IF(MAX(ABS(G60-H60),ABS(H60-I60),ABS(I60-J60),ABS(J60-K60),ABS(K60-L60),ABS(L60-M60),ABS(M60-N60))&gt;40,1,0)</f>
        <v/>
      </c>
    </row>
    <row r="61">
      <c r="X61">
        <f>IF(COUNT(H61,I61,J61,L61)&lt;4,"",ROUND(AVERAGE(H61,I61,J61,L61),1))</f>
        <v/>
      </c>
      <c r="Y61">
        <f>IF(X61="","",IF(X61&lt;26,"normal",IF(X61&lt;41,"mild",IF(X61&lt;61,"moderate",IF(X61&lt;81,"severe","profound")))))</f>
        <v/>
      </c>
      <c r="Z61">
        <f>IF(X61="","",IF(OR(ABS(X61-25)&lt;=5,ABS(X61-40)&lt;=5,ABS(X61-60)&lt;=5,ABS(X61-80)&lt;=5),1,0))</f>
        <v/>
      </c>
      <c r="AA61">
        <f>IF(MAX(ABS(G61-H61),ABS(H61-I61),ABS(I61-J61),ABS(J61-K61),ABS(K61-L61),ABS(L61-M61),ABS(M61-N61))&gt;40,1,0)</f>
        <v/>
      </c>
    </row>
    <row r="62">
      <c r="X62">
        <f>IF(COUNT(H62,I62,J62,L62)&lt;4,"",ROUND(AVERAGE(H62,I62,J62,L62),1))</f>
        <v/>
      </c>
      <c r="Y62">
        <f>IF(X62="","",IF(X62&lt;26,"normal",IF(X62&lt;41,"mild",IF(X62&lt;61,"moderate",IF(X62&lt;81,"severe","profound")))))</f>
        <v/>
      </c>
      <c r="Z62">
        <f>IF(X62="","",IF(OR(ABS(X62-25)&lt;=5,ABS(X62-40)&lt;=5,ABS(X62-60)&lt;=5,ABS(X62-80)&lt;=5),1,0))</f>
        <v/>
      </c>
      <c r="AA62">
        <f>IF(MAX(ABS(G62-H62),ABS(H62-I62),ABS(I62-J62),ABS(J62-K62),ABS(K62-L62),ABS(L62-M62),ABS(M62-N62))&gt;40,1,0)</f>
        <v/>
      </c>
    </row>
    <row r="63">
      <c r="X63">
        <f>IF(COUNT(H63,I63,J63,L63)&lt;4,"",ROUND(AVERAGE(H63,I63,J63,L63),1))</f>
        <v/>
      </c>
      <c r="Y63">
        <f>IF(X63="","",IF(X63&lt;26,"normal",IF(X63&lt;41,"mild",IF(X63&lt;61,"moderate",IF(X63&lt;81,"severe","profound")))))</f>
        <v/>
      </c>
      <c r="Z63">
        <f>IF(X63="","",IF(OR(ABS(X63-25)&lt;=5,ABS(X63-40)&lt;=5,ABS(X63-60)&lt;=5,ABS(X63-80)&lt;=5),1,0))</f>
        <v/>
      </c>
      <c r="AA63">
        <f>IF(MAX(ABS(G63-H63),ABS(H63-I63),ABS(I63-J63),ABS(J63-K63),ABS(K63-L63),ABS(L63-M63),ABS(M63-N63))&gt;40,1,0)</f>
        <v/>
      </c>
    </row>
    <row r="64">
      <c r="X64">
        <f>IF(COUNT(H64,I64,J64,L64)&lt;4,"",ROUND(AVERAGE(H64,I64,J64,L64),1))</f>
        <v/>
      </c>
      <c r="Y64">
        <f>IF(X64="","",IF(X64&lt;26,"normal",IF(X64&lt;41,"mild",IF(X64&lt;61,"moderate",IF(X64&lt;81,"severe","profound")))))</f>
        <v/>
      </c>
      <c r="Z64">
        <f>IF(X64="","",IF(OR(ABS(X64-25)&lt;=5,ABS(X64-40)&lt;=5,ABS(X64-60)&lt;=5,ABS(X64-80)&lt;=5),1,0))</f>
        <v/>
      </c>
      <c r="AA64">
        <f>IF(MAX(ABS(G64-H64),ABS(H64-I64),ABS(I64-J64),ABS(J64-K64),ABS(K64-L64),ABS(L64-M64),ABS(M64-N64))&gt;40,1,0)</f>
        <v/>
      </c>
    </row>
    <row r="65">
      <c r="X65">
        <f>IF(COUNT(H65,I65,J65,L65)&lt;4,"",ROUND(AVERAGE(H65,I65,J65,L65),1))</f>
        <v/>
      </c>
      <c r="Y65">
        <f>IF(X65="","",IF(X65&lt;26,"normal",IF(X65&lt;41,"mild",IF(X65&lt;61,"moderate",IF(X65&lt;81,"severe","profound")))))</f>
        <v/>
      </c>
      <c r="Z65">
        <f>IF(X65="","",IF(OR(ABS(X65-25)&lt;=5,ABS(X65-40)&lt;=5,ABS(X65-60)&lt;=5,ABS(X65-80)&lt;=5),1,0))</f>
        <v/>
      </c>
      <c r="AA65">
        <f>IF(MAX(ABS(G65-H65),ABS(H65-I65),ABS(I65-J65),ABS(J65-K65),ABS(K65-L65),ABS(L65-M65),ABS(M65-N65))&gt;40,1,0)</f>
        <v/>
      </c>
    </row>
    <row r="66">
      <c r="X66">
        <f>IF(COUNT(H66,I66,J66,L66)&lt;4,"",ROUND(AVERAGE(H66,I66,J66,L66),1))</f>
        <v/>
      </c>
      <c r="Y66">
        <f>IF(X66="","",IF(X66&lt;26,"normal",IF(X66&lt;41,"mild",IF(X66&lt;61,"moderate",IF(X66&lt;81,"severe","profound")))))</f>
        <v/>
      </c>
      <c r="Z66">
        <f>IF(X66="","",IF(OR(ABS(X66-25)&lt;=5,ABS(X66-40)&lt;=5,ABS(X66-60)&lt;=5,ABS(X66-80)&lt;=5),1,0))</f>
        <v/>
      </c>
      <c r="AA66">
        <f>IF(MAX(ABS(G66-H66),ABS(H66-I66),ABS(I66-J66),ABS(J66-K66),ABS(K66-L66),ABS(L66-M66),ABS(M66-N66))&gt;40,1,0)</f>
        <v/>
      </c>
    </row>
    <row r="67">
      <c r="X67">
        <f>IF(COUNT(H67,I67,J67,L67)&lt;4,"",ROUND(AVERAGE(H67,I67,J67,L67),1))</f>
        <v/>
      </c>
      <c r="Y67">
        <f>IF(X67="","",IF(X67&lt;26,"normal",IF(X67&lt;41,"mild",IF(X67&lt;61,"moderate",IF(X67&lt;81,"severe","profound")))))</f>
        <v/>
      </c>
      <c r="Z67">
        <f>IF(X67="","",IF(OR(ABS(X67-25)&lt;=5,ABS(X67-40)&lt;=5,ABS(X67-60)&lt;=5,ABS(X67-80)&lt;=5),1,0))</f>
        <v/>
      </c>
      <c r="AA67">
        <f>IF(MAX(ABS(G67-H67),ABS(H67-I67),ABS(I67-J67),ABS(J67-K67),ABS(K67-L67),ABS(L67-M67),ABS(M67-N67))&gt;40,1,0)</f>
        <v/>
      </c>
    </row>
    <row r="68">
      <c r="X68">
        <f>IF(COUNT(H68,I68,J68,L68)&lt;4,"",ROUND(AVERAGE(H68,I68,J68,L68),1))</f>
        <v/>
      </c>
      <c r="Y68">
        <f>IF(X68="","",IF(X68&lt;26,"normal",IF(X68&lt;41,"mild",IF(X68&lt;61,"moderate",IF(X68&lt;81,"severe","profound")))))</f>
        <v/>
      </c>
      <c r="Z68">
        <f>IF(X68="","",IF(OR(ABS(X68-25)&lt;=5,ABS(X68-40)&lt;=5,ABS(X68-60)&lt;=5,ABS(X68-80)&lt;=5),1,0))</f>
        <v/>
      </c>
      <c r="AA68">
        <f>IF(MAX(ABS(G68-H68),ABS(H68-I68),ABS(I68-J68),ABS(J68-K68),ABS(K68-L68),ABS(L68-M68),ABS(M68-N68))&gt;40,1,0)</f>
        <v/>
      </c>
    </row>
    <row r="69">
      <c r="X69">
        <f>IF(COUNT(H69,I69,J69,L69)&lt;4,"",ROUND(AVERAGE(H69,I69,J69,L69),1))</f>
        <v/>
      </c>
      <c r="Y69">
        <f>IF(X69="","",IF(X69&lt;26,"normal",IF(X69&lt;41,"mild",IF(X69&lt;61,"moderate",IF(X69&lt;81,"severe","profound")))))</f>
        <v/>
      </c>
      <c r="Z69">
        <f>IF(X69="","",IF(OR(ABS(X69-25)&lt;=5,ABS(X69-40)&lt;=5,ABS(X69-60)&lt;=5,ABS(X69-80)&lt;=5),1,0))</f>
        <v/>
      </c>
      <c r="AA69">
        <f>IF(MAX(ABS(G69-H69),ABS(H69-I69),ABS(I69-J69),ABS(J69-K69),ABS(K69-L69),ABS(L69-M69),ABS(M69-N69))&gt;40,1,0)</f>
        <v/>
      </c>
    </row>
    <row r="70">
      <c r="X70">
        <f>IF(COUNT(H70,I70,J70,L70)&lt;4,"",ROUND(AVERAGE(H70,I70,J70,L70),1))</f>
        <v/>
      </c>
      <c r="Y70">
        <f>IF(X70="","",IF(X70&lt;26,"normal",IF(X70&lt;41,"mild",IF(X70&lt;61,"moderate",IF(X70&lt;81,"severe","profound")))))</f>
        <v/>
      </c>
      <c r="Z70">
        <f>IF(X70="","",IF(OR(ABS(X70-25)&lt;=5,ABS(X70-40)&lt;=5,ABS(X70-60)&lt;=5,ABS(X70-80)&lt;=5),1,0))</f>
        <v/>
      </c>
      <c r="AA70">
        <f>IF(MAX(ABS(G70-H70),ABS(H70-I70),ABS(I70-J70),ABS(J70-K70),ABS(K70-L70),ABS(L70-M70),ABS(M70-N70))&gt;40,1,0)</f>
        <v/>
      </c>
    </row>
    <row r="71">
      <c r="X71">
        <f>IF(COUNT(H71,I71,J71,L71)&lt;4,"",ROUND(AVERAGE(H71,I71,J71,L71),1))</f>
        <v/>
      </c>
      <c r="Y71">
        <f>IF(X71="","",IF(X71&lt;26,"normal",IF(X71&lt;41,"mild",IF(X71&lt;61,"moderate",IF(X71&lt;81,"severe","profound")))))</f>
        <v/>
      </c>
      <c r="Z71">
        <f>IF(X71="","",IF(OR(ABS(X71-25)&lt;=5,ABS(X71-40)&lt;=5,ABS(X71-60)&lt;=5,ABS(X71-80)&lt;=5),1,0))</f>
        <v/>
      </c>
      <c r="AA71">
        <f>IF(MAX(ABS(G71-H71),ABS(H71-I71),ABS(I71-J71),ABS(J71-K71),ABS(K71-L71),ABS(L71-M71),ABS(M71-N71))&gt;40,1,0)</f>
        <v/>
      </c>
    </row>
    <row r="72">
      <c r="X72">
        <f>IF(COUNT(H72,I72,J72,L72)&lt;4,"",ROUND(AVERAGE(H72,I72,J72,L72),1))</f>
        <v/>
      </c>
      <c r="Y72">
        <f>IF(X72="","",IF(X72&lt;26,"normal",IF(X72&lt;41,"mild",IF(X72&lt;61,"moderate",IF(X72&lt;81,"severe","profound")))))</f>
        <v/>
      </c>
      <c r="Z72">
        <f>IF(X72="","",IF(OR(ABS(X72-25)&lt;=5,ABS(X72-40)&lt;=5,ABS(X72-60)&lt;=5,ABS(X72-80)&lt;=5),1,0))</f>
        <v/>
      </c>
      <c r="AA72">
        <f>IF(MAX(ABS(G72-H72),ABS(H72-I72),ABS(I72-J72),ABS(J72-K72),ABS(K72-L72),ABS(L72-M72),ABS(M72-N72))&gt;40,1,0)</f>
        <v/>
      </c>
    </row>
    <row r="73">
      <c r="X73">
        <f>IF(COUNT(H73,I73,J73,L73)&lt;4,"",ROUND(AVERAGE(H73,I73,J73,L73),1))</f>
        <v/>
      </c>
      <c r="Y73">
        <f>IF(X73="","",IF(X73&lt;26,"normal",IF(X73&lt;41,"mild",IF(X73&lt;61,"moderate",IF(X73&lt;81,"severe","profound")))))</f>
        <v/>
      </c>
      <c r="Z73">
        <f>IF(X73="","",IF(OR(ABS(X73-25)&lt;=5,ABS(X73-40)&lt;=5,ABS(X73-60)&lt;=5,ABS(X73-80)&lt;=5),1,0))</f>
        <v/>
      </c>
      <c r="AA73">
        <f>IF(MAX(ABS(G73-H73),ABS(H73-I73),ABS(I73-J73),ABS(J73-K73),ABS(K73-L73),ABS(L73-M73),ABS(M73-N73))&gt;40,1,0)</f>
        <v/>
      </c>
    </row>
    <row r="74">
      <c r="X74">
        <f>IF(COUNT(H74,I74,J74,L74)&lt;4,"",ROUND(AVERAGE(H74,I74,J74,L74),1))</f>
        <v/>
      </c>
      <c r="Y74">
        <f>IF(X74="","",IF(X74&lt;26,"normal",IF(X74&lt;41,"mild",IF(X74&lt;61,"moderate",IF(X74&lt;81,"severe","profound")))))</f>
        <v/>
      </c>
      <c r="Z74">
        <f>IF(X74="","",IF(OR(ABS(X74-25)&lt;=5,ABS(X74-40)&lt;=5,ABS(X74-60)&lt;=5,ABS(X74-80)&lt;=5),1,0))</f>
        <v/>
      </c>
      <c r="AA74">
        <f>IF(MAX(ABS(G74-H74),ABS(H74-I74),ABS(I74-J74),ABS(J74-K74),ABS(K74-L74),ABS(L74-M74),ABS(M74-N74))&gt;40,1,0)</f>
        <v/>
      </c>
    </row>
    <row r="75">
      <c r="X75">
        <f>IF(COUNT(H75,I75,J75,L75)&lt;4,"",ROUND(AVERAGE(H75,I75,J75,L75),1))</f>
        <v/>
      </c>
      <c r="Y75">
        <f>IF(X75="","",IF(X75&lt;26,"normal",IF(X75&lt;41,"mild",IF(X75&lt;61,"moderate",IF(X75&lt;81,"severe","profound")))))</f>
        <v/>
      </c>
      <c r="Z75">
        <f>IF(X75="","",IF(OR(ABS(X75-25)&lt;=5,ABS(X75-40)&lt;=5,ABS(X75-60)&lt;=5,ABS(X75-80)&lt;=5),1,0))</f>
        <v/>
      </c>
      <c r="AA75">
        <f>IF(MAX(ABS(G75-H75),ABS(H75-I75),ABS(I75-J75),ABS(J75-K75),ABS(K75-L75),ABS(L75-M75),ABS(M75-N75))&gt;40,1,0)</f>
        <v/>
      </c>
    </row>
    <row r="76">
      <c r="X76">
        <f>IF(COUNT(H76,I76,J76,L76)&lt;4,"",ROUND(AVERAGE(H76,I76,J76,L76),1))</f>
        <v/>
      </c>
      <c r="Y76">
        <f>IF(X76="","",IF(X76&lt;26,"normal",IF(X76&lt;41,"mild",IF(X76&lt;61,"moderate",IF(X76&lt;81,"severe","profound")))))</f>
        <v/>
      </c>
      <c r="Z76">
        <f>IF(X76="","",IF(OR(ABS(X76-25)&lt;=5,ABS(X76-40)&lt;=5,ABS(X76-60)&lt;=5,ABS(X76-80)&lt;=5),1,0))</f>
        <v/>
      </c>
      <c r="AA76">
        <f>IF(MAX(ABS(G76-H76),ABS(H76-I76),ABS(I76-J76),ABS(J76-K76),ABS(K76-L76),ABS(L76-M76),ABS(M76-N76))&gt;40,1,0)</f>
        <v/>
      </c>
    </row>
    <row r="77">
      <c r="X77">
        <f>IF(COUNT(H77,I77,J77,L77)&lt;4,"",ROUND(AVERAGE(H77,I77,J77,L77),1))</f>
        <v/>
      </c>
      <c r="Y77">
        <f>IF(X77="","",IF(X77&lt;26,"normal",IF(X77&lt;41,"mild",IF(X77&lt;61,"moderate",IF(X77&lt;81,"severe","profound")))))</f>
        <v/>
      </c>
      <c r="Z77">
        <f>IF(X77="","",IF(OR(ABS(X77-25)&lt;=5,ABS(X77-40)&lt;=5,ABS(X77-60)&lt;=5,ABS(X77-80)&lt;=5),1,0))</f>
        <v/>
      </c>
      <c r="AA77">
        <f>IF(MAX(ABS(G77-H77),ABS(H77-I77),ABS(I77-J77),ABS(J77-K77),ABS(K77-L77),ABS(L77-M77),ABS(M77-N77))&gt;40,1,0)</f>
        <v/>
      </c>
    </row>
    <row r="78">
      <c r="X78">
        <f>IF(COUNT(H78,I78,J78,L78)&lt;4,"",ROUND(AVERAGE(H78,I78,J78,L78),1))</f>
        <v/>
      </c>
      <c r="Y78">
        <f>IF(X78="","",IF(X78&lt;26,"normal",IF(X78&lt;41,"mild",IF(X78&lt;61,"moderate",IF(X78&lt;81,"severe","profound")))))</f>
        <v/>
      </c>
      <c r="Z78">
        <f>IF(X78="","",IF(OR(ABS(X78-25)&lt;=5,ABS(X78-40)&lt;=5,ABS(X78-60)&lt;=5,ABS(X78-80)&lt;=5),1,0))</f>
        <v/>
      </c>
      <c r="AA78">
        <f>IF(MAX(ABS(G78-H78),ABS(H78-I78),ABS(I78-J78),ABS(J78-K78),ABS(K78-L78),ABS(L78-M78),ABS(M78-N78))&gt;40,1,0)</f>
        <v/>
      </c>
    </row>
    <row r="79">
      <c r="X79">
        <f>IF(COUNT(H79,I79,J79,L79)&lt;4,"",ROUND(AVERAGE(H79,I79,J79,L79),1))</f>
        <v/>
      </c>
      <c r="Y79">
        <f>IF(X79="","",IF(X79&lt;26,"normal",IF(X79&lt;41,"mild",IF(X79&lt;61,"moderate",IF(X79&lt;81,"severe","profound")))))</f>
        <v/>
      </c>
      <c r="Z79">
        <f>IF(X79="","",IF(OR(ABS(X79-25)&lt;=5,ABS(X79-40)&lt;=5,ABS(X79-60)&lt;=5,ABS(X79-80)&lt;=5),1,0))</f>
        <v/>
      </c>
      <c r="AA79">
        <f>IF(MAX(ABS(G79-H79),ABS(H79-I79),ABS(I79-J79),ABS(J79-K79),ABS(K79-L79),ABS(L79-M79),ABS(M79-N79))&gt;40,1,0)</f>
        <v/>
      </c>
    </row>
    <row r="80">
      <c r="X80">
        <f>IF(COUNT(H80,I80,J80,L80)&lt;4,"",ROUND(AVERAGE(H80,I80,J80,L80),1))</f>
        <v/>
      </c>
      <c r="Y80">
        <f>IF(X80="","",IF(X80&lt;26,"normal",IF(X80&lt;41,"mild",IF(X80&lt;61,"moderate",IF(X80&lt;81,"severe","profound")))))</f>
        <v/>
      </c>
      <c r="Z80">
        <f>IF(X80="","",IF(OR(ABS(X80-25)&lt;=5,ABS(X80-40)&lt;=5,ABS(X80-60)&lt;=5,ABS(X80-80)&lt;=5),1,0))</f>
        <v/>
      </c>
      <c r="AA80">
        <f>IF(MAX(ABS(G80-H80),ABS(H80-I80),ABS(I80-J80),ABS(J80-K80),ABS(K80-L80),ABS(L80-M80),ABS(M80-N80))&gt;40,1,0)</f>
        <v/>
      </c>
    </row>
    <row r="81">
      <c r="X81">
        <f>IF(COUNT(H81,I81,J81,L81)&lt;4,"",ROUND(AVERAGE(H81,I81,J81,L81),1))</f>
        <v/>
      </c>
      <c r="Y81">
        <f>IF(X81="","",IF(X81&lt;26,"normal",IF(X81&lt;41,"mild",IF(X81&lt;61,"moderate",IF(X81&lt;81,"severe","profound")))))</f>
        <v/>
      </c>
      <c r="Z81">
        <f>IF(X81="","",IF(OR(ABS(X81-25)&lt;=5,ABS(X81-40)&lt;=5,ABS(X81-60)&lt;=5,ABS(X81-80)&lt;=5),1,0))</f>
        <v/>
      </c>
      <c r="AA81">
        <f>IF(MAX(ABS(G81-H81),ABS(H81-I81),ABS(I81-J81),ABS(J81-K81),ABS(K81-L81),ABS(L81-M81),ABS(M81-N81))&gt;40,1,0)</f>
        <v/>
      </c>
    </row>
    <row r="82">
      <c r="X82">
        <f>IF(COUNT(H82,I82,J82,L82)&lt;4,"",ROUND(AVERAGE(H82,I82,J82,L82),1))</f>
        <v/>
      </c>
      <c r="Y82">
        <f>IF(X82="","",IF(X82&lt;26,"normal",IF(X82&lt;41,"mild",IF(X82&lt;61,"moderate",IF(X82&lt;81,"severe","profound")))))</f>
        <v/>
      </c>
      <c r="Z82">
        <f>IF(X82="","",IF(OR(ABS(X82-25)&lt;=5,ABS(X82-40)&lt;=5,ABS(X82-60)&lt;=5,ABS(X82-80)&lt;=5),1,0))</f>
        <v/>
      </c>
      <c r="AA82">
        <f>IF(MAX(ABS(G82-H82),ABS(H82-I82),ABS(I82-J82),ABS(J82-K82),ABS(K82-L82),ABS(L82-M82),ABS(M82-N82))&gt;40,1,0)</f>
        <v/>
      </c>
    </row>
    <row r="83">
      <c r="X83">
        <f>IF(COUNT(H83,I83,J83,L83)&lt;4,"",ROUND(AVERAGE(H83,I83,J83,L83),1))</f>
        <v/>
      </c>
      <c r="Y83">
        <f>IF(X83="","",IF(X83&lt;26,"normal",IF(X83&lt;41,"mild",IF(X83&lt;61,"moderate",IF(X83&lt;81,"severe","profound")))))</f>
        <v/>
      </c>
      <c r="Z83">
        <f>IF(X83="","",IF(OR(ABS(X83-25)&lt;=5,ABS(X83-40)&lt;=5,ABS(X83-60)&lt;=5,ABS(X83-80)&lt;=5),1,0))</f>
        <v/>
      </c>
      <c r="AA83">
        <f>IF(MAX(ABS(G83-H83),ABS(H83-I83),ABS(I83-J83),ABS(J83-K83),ABS(K83-L83),ABS(L83-M83),ABS(M83-N83))&gt;40,1,0)</f>
        <v/>
      </c>
    </row>
    <row r="84">
      <c r="X84">
        <f>IF(COUNT(H84,I84,J84,L84)&lt;4,"",ROUND(AVERAGE(H84,I84,J84,L84),1))</f>
        <v/>
      </c>
      <c r="Y84">
        <f>IF(X84="","",IF(X84&lt;26,"normal",IF(X84&lt;41,"mild",IF(X84&lt;61,"moderate",IF(X84&lt;81,"severe","profound")))))</f>
        <v/>
      </c>
      <c r="Z84">
        <f>IF(X84="","",IF(OR(ABS(X84-25)&lt;=5,ABS(X84-40)&lt;=5,ABS(X84-60)&lt;=5,ABS(X84-80)&lt;=5),1,0))</f>
        <v/>
      </c>
      <c r="AA84">
        <f>IF(MAX(ABS(G84-H84),ABS(H84-I84),ABS(I84-J84),ABS(J84-K84),ABS(K84-L84),ABS(L84-M84),ABS(M84-N84))&gt;40,1,0)</f>
        <v/>
      </c>
    </row>
    <row r="85">
      <c r="X85">
        <f>IF(COUNT(H85,I85,J85,L85)&lt;4,"",ROUND(AVERAGE(H85,I85,J85,L85),1))</f>
        <v/>
      </c>
      <c r="Y85">
        <f>IF(X85="","",IF(X85&lt;26,"normal",IF(X85&lt;41,"mild",IF(X85&lt;61,"moderate",IF(X85&lt;81,"severe","profound")))))</f>
        <v/>
      </c>
      <c r="Z85">
        <f>IF(X85="","",IF(OR(ABS(X85-25)&lt;=5,ABS(X85-40)&lt;=5,ABS(X85-60)&lt;=5,ABS(X85-80)&lt;=5),1,0))</f>
        <v/>
      </c>
      <c r="AA85">
        <f>IF(MAX(ABS(G85-H85),ABS(H85-I85),ABS(I85-J85),ABS(J85-K85),ABS(K85-L85),ABS(L85-M85),ABS(M85-N85))&gt;40,1,0)</f>
        <v/>
      </c>
    </row>
    <row r="86">
      <c r="X86">
        <f>IF(COUNT(H86,I86,J86,L86)&lt;4,"",ROUND(AVERAGE(H86,I86,J86,L86),1))</f>
        <v/>
      </c>
      <c r="Y86">
        <f>IF(X86="","",IF(X86&lt;26,"normal",IF(X86&lt;41,"mild",IF(X86&lt;61,"moderate",IF(X86&lt;81,"severe","profound")))))</f>
        <v/>
      </c>
      <c r="Z86">
        <f>IF(X86="","",IF(OR(ABS(X86-25)&lt;=5,ABS(X86-40)&lt;=5,ABS(X86-60)&lt;=5,ABS(X86-80)&lt;=5),1,0))</f>
        <v/>
      </c>
      <c r="AA86">
        <f>IF(MAX(ABS(G86-H86),ABS(H86-I86),ABS(I86-J86),ABS(J86-K86),ABS(K86-L86),ABS(L86-M86),ABS(M86-N86))&gt;40,1,0)</f>
        <v/>
      </c>
    </row>
    <row r="87">
      <c r="X87">
        <f>IF(COUNT(H87,I87,J87,L87)&lt;4,"",ROUND(AVERAGE(H87,I87,J87,L87),1))</f>
        <v/>
      </c>
      <c r="Y87">
        <f>IF(X87="","",IF(X87&lt;26,"normal",IF(X87&lt;41,"mild",IF(X87&lt;61,"moderate",IF(X87&lt;81,"severe","profound")))))</f>
        <v/>
      </c>
      <c r="Z87">
        <f>IF(X87="","",IF(OR(ABS(X87-25)&lt;=5,ABS(X87-40)&lt;=5,ABS(X87-60)&lt;=5,ABS(X87-80)&lt;=5),1,0))</f>
        <v/>
      </c>
      <c r="AA87">
        <f>IF(MAX(ABS(G87-H87),ABS(H87-I87),ABS(I87-J87),ABS(J87-K87),ABS(K87-L87),ABS(L87-M87),ABS(M87-N87))&gt;40,1,0)</f>
        <v/>
      </c>
    </row>
    <row r="88">
      <c r="X88">
        <f>IF(COUNT(H88,I88,J88,L88)&lt;4,"",ROUND(AVERAGE(H88,I88,J88,L88),1))</f>
        <v/>
      </c>
      <c r="Y88">
        <f>IF(X88="","",IF(X88&lt;26,"normal",IF(X88&lt;41,"mild",IF(X88&lt;61,"moderate",IF(X88&lt;81,"severe","profound")))))</f>
        <v/>
      </c>
      <c r="Z88">
        <f>IF(X88="","",IF(OR(ABS(X88-25)&lt;=5,ABS(X88-40)&lt;=5,ABS(X88-60)&lt;=5,ABS(X88-80)&lt;=5),1,0))</f>
        <v/>
      </c>
      <c r="AA88">
        <f>IF(MAX(ABS(G88-H88),ABS(H88-I88),ABS(I88-J88),ABS(J88-K88),ABS(K88-L88),ABS(L88-M88),ABS(M88-N88))&gt;40,1,0)</f>
        <v/>
      </c>
    </row>
    <row r="89">
      <c r="X89">
        <f>IF(COUNT(H89,I89,J89,L89)&lt;4,"",ROUND(AVERAGE(H89,I89,J89,L89),1))</f>
        <v/>
      </c>
      <c r="Y89">
        <f>IF(X89="","",IF(X89&lt;26,"normal",IF(X89&lt;41,"mild",IF(X89&lt;61,"moderate",IF(X89&lt;81,"severe","profound")))))</f>
        <v/>
      </c>
      <c r="Z89">
        <f>IF(X89="","",IF(OR(ABS(X89-25)&lt;=5,ABS(X89-40)&lt;=5,ABS(X89-60)&lt;=5,ABS(X89-80)&lt;=5),1,0))</f>
        <v/>
      </c>
      <c r="AA89">
        <f>IF(MAX(ABS(G89-H89),ABS(H89-I89),ABS(I89-J89),ABS(J89-K89),ABS(K89-L89),ABS(L89-M89),ABS(M89-N89))&gt;40,1,0)</f>
        <v/>
      </c>
    </row>
    <row r="90">
      <c r="X90">
        <f>IF(COUNT(H90,I90,J90,L90)&lt;4,"",ROUND(AVERAGE(H90,I90,J90,L90),1))</f>
        <v/>
      </c>
      <c r="Y90">
        <f>IF(X90="","",IF(X90&lt;26,"normal",IF(X90&lt;41,"mild",IF(X90&lt;61,"moderate",IF(X90&lt;81,"severe","profound")))))</f>
        <v/>
      </c>
      <c r="Z90">
        <f>IF(X90="","",IF(OR(ABS(X90-25)&lt;=5,ABS(X90-40)&lt;=5,ABS(X90-60)&lt;=5,ABS(X90-80)&lt;=5),1,0))</f>
        <v/>
      </c>
      <c r="AA90">
        <f>IF(MAX(ABS(G90-H90),ABS(H90-I90),ABS(I90-J90),ABS(J90-K90),ABS(K90-L90),ABS(L90-M90),ABS(M90-N90))&gt;40,1,0)</f>
        <v/>
      </c>
    </row>
    <row r="91">
      <c r="X91">
        <f>IF(COUNT(H91,I91,J91,L91)&lt;4,"",ROUND(AVERAGE(H91,I91,J91,L91),1))</f>
        <v/>
      </c>
      <c r="Y91">
        <f>IF(X91="","",IF(X91&lt;26,"normal",IF(X91&lt;41,"mild",IF(X91&lt;61,"moderate",IF(X91&lt;81,"severe","profound")))))</f>
        <v/>
      </c>
      <c r="Z91">
        <f>IF(X91="","",IF(OR(ABS(X91-25)&lt;=5,ABS(X91-40)&lt;=5,ABS(X91-60)&lt;=5,ABS(X91-80)&lt;=5),1,0))</f>
        <v/>
      </c>
      <c r="AA91">
        <f>IF(MAX(ABS(G91-H91),ABS(H91-I91),ABS(I91-J91),ABS(J91-K91),ABS(K91-L91),ABS(L91-M91),ABS(M91-N91))&gt;40,1,0)</f>
        <v/>
      </c>
    </row>
    <row r="92">
      <c r="X92">
        <f>IF(COUNT(H92,I92,J92,L92)&lt;4,"",ROUND(AVERAGE(H92,I92,J92,L92),1))</f>
        <v/>
      </c>
      <c r="Y92">
        <f>IF(X92="","",IF(X92&lt;26,"normal",IF(X92&lt;41,"mild",IF(X92&lt;61,"moderate",IF(X92&lt;81,"severe","profound")))))</f>
        <v/>
      </c>
      <c r="Z92">
        <f>IF(X92="","",IF(OR(ABS(X92-25)&lt;=5,ABS(X92-40)&lt;=5,ABS(X92-60)&lt;=5,ABS(X92-80)&lt;=5),1,0))</f>
        <v/>
      </c>
      <c r="AA92">
        <f>IF(MAX(ABS(G92-H92),ABS(H92-I92),ABS(I92-J92),ABS(J92-K92),ABS(K92-L92),ABS(L92-M92),ABS(M92-N92))&gt;40,1,0)</f>
        <v/>
      </c>
    </row>
    <row r="93">
      <c r="X93">
        <f>IF(COUNT(H93,I93,J93,L93)&lt;4,"",ROUND(AVERAGE(H93,I93,J93,L93),1))</f>
        <v/>
      </c>
      <c r="Y93">
        <f>IF(X93="","",IF(X93&lt;26,"normal",IF(X93&lt;41,"mild",IF(X93&lt;61,"moderate",IF(X93&lt;81,"severe","profound")))))</f>
        <v/>
      </c>
      <c r="Z93">
        <f>IF(X93="","",IF(OR(ABS(X93-25)&lt;=5,ABS(X93-40)&lt;=5,ABS(X93-60)&lt;=5,ABS(X93-80)&lt;=5),1,0))</f>
        <v/>
      </c>
      <c r="AA93">
        <f>IF(MAX(ABS(G93-H93),ABS(H93-I93),ABS(I93-J93),ABS(J93-K93),ABS(K93-L93),ABS(L93-M93),ABS(M93-N93))&gt;40,1,0)</f>
        <v/>
      </c>
    </row>
    <row r="94">
      <c r="X94">
        <f>IF(COUNT(H94,I94,J94,L94)&lt;4,"",ROUND(AVERAGE(H94,I94,J94,L94),1))</f>
        <v/>
      </c>
      <c r="Y94">
        <f>IF(X94="","",IF(X94&lt;26,"normal",IF(X94&lt;41,"mild",IF(X94&lt;61,"moderate",IF(X94&lt;81,"severe","profound")))))</f>
        <v/>
      </c>
      <c r="Z94">
        <f>IF(X94="","",IF(OR(ABS(X94-25)&lt;=5,ABS(X94-40)&lt;=5,ABS(X94-60)&lt;=5,ABS(X94-80)&lt;=5),1,0))</f>
        <v/>
      </c>
      <c r="AA94">
        <f>IF(MAX(ABS(G94-H94),ABS(H94-I94),ABS(I94-J94),ABS(J94-K94),ABS(K94-L94),ABS(L94-M94),ABS(M94-N94))&gt;40,1,0)</f>
        <v/>
      </c>
    </row>
    <row r="95">
      <c r="X95">
        <f>IF(COUNT(H95,I95,J95,L95)&lt;4,"",ROUND(AVERAGE(H95,I95,J95,L95),1))</f>
        <v/>
      </c>
      <c r="Y95">
        <f>IF(X95="","",IF(X95&lt;26,"normal",IF(X95&lt;41,"mild",IF(X95&lt;61,"moderate",IF(X95&lt;81,"severe","profound")))))</f>
        <v/>
      </c>
      <c r="Z95">
        <f>IF(X95="","",IF(OR(ABS(X95-25)&lt;=5,ABS(X95-40)&lt;=5,ABS(X95-60)&lt;=5,ABS(X95-80)&lt;=5),1,0))</f>
        <v/>
      </c>
      <c r="AA95">
        <f>IF(MAX(ABS(G95-H95),ABS(H95-I95),ABS(I95-J95),ABS(J95-K95),ABS(K95-L95),ABS(L95-M95),ABS(M95-N95))&gt;40,1,0)</f>
        <v/>
      </c>
    </row>
    <row r="96">
      <c r="X96">
        <f>IF(COUNT(H96,I96,J96,L96)&lt;4,"",ROUND(AVERAGE(H96,I96,J96,L96),1))</f>
        <v/>
      </c>
      <c r="Y96">
        <f>IF(X96="","",IF(X96&lt;26,"normal",IF(X96&lt;41,"mild",IF(X96&lt;61,"moderate",IF(X96&lt;81,"severe","profound")))))</f>
        <v/>
      </c>
      <c r="Z96">
        <f>IF(X96="","",IF(OR(ABS(X96-25)&lt;=5,ABS(X96-40)&lt;=5,ABS(X96-60)&lt;=5,ABS(X96-80)&lt;=5),1,0))</f>
        <v/>
      </c>
      <c r="AA96">
        <f>IF(MAX(ABS(G96-H96),ABS(H96-I96),ABS(I96-J96),ABS(J96-K96),ABS(K96-L96),ABS(L96-M96),ABS(M96-N96))&gt;40,1,0)</f>
        <v/>
      </c>
    </row>
    <row r="97">
      <c r="X97">
        <f>IF(COUNT(H97,I97,J97,L97)&lt;4,"",ROUND(AVERAGE(H97,I97,J97,L97),1))</f>
        <v/>
      </c>
      <c r="Y97">
        <f>IF(X97="","",IF(X97&lt;26,"normal",IF(X97&lt;41,"mild",IF(X97&lt;61,"moderate",IF(X97&lt;81,"severe","profound")))))</f>
        <v/>
      </c>
      <c r="Z97">
        <f>IF(X97="","",IF(OR(ABS(X97-25)&lt;=5,ABS(X97-40)&lt;=5,ABS(X97-60)&lt;=5,ABS(X97-80)&lt;=5),1,0))</f>
        <v/>
      </c>
      <c r="AA97">
        <f>IF(MAX(ABS(G97-H97),ABS(H97-I97),ABS(I97-J97),ABS(J97-K97),ABS(K97-L97),ABS(L97-M97),ABS(M97-N97))&gt;40,1,0)</f>
        <v/>
      </c>
    </row>
    <row r="98">
      <c r="X98">
        <f>IF(COUNT(H98,I98,J98,L98)&lt;4,"",ROUND(AVERAGE(H98,I98,J98,L98),1))</f>
        <v/>
      </c>
      <c r="Y98">
        <f>IF(X98="","",IF(X98&lt;26,"normal",IF(X98&lt;41,"mild",IF(X98&lt;61,"moderate",IF(X98&lt;81,"severe","profound")))))</f>
        <v/>
      </c>
      <c r="Z98">
        <f>IF(X98="","",IF(OR(ABS(X98-25)&lt;=5,ABS(X98-40)&lt;=5,ABS(X98-60)&lt;=5,ABS(X98-80)&lt;=5),1,0))</f>
        <v/>
      </c>
      <c r="AA98">
        <f>IF(MAX(ABS(G98-H98),ABS(H98-I98),ABS(I98-J98),ABS(J98-K98),ABS(K98-L98),ABS(L98-M98),ABS(M98-N98))&gt;40,1,0)</f>
        <v/>
      </c>
    </row>
    <row r="99">
      <c r="X99">
        <f>IF(COUNT(H99,I99,J99,L99)&lt;4,"",ROUND(AVERAGE(H99,I99,J99,L99),1))</f>
        <v/>
      </c>
      <c r="Y99">
        <f>IF(X99="","",IF(X99&lt;26,"normal",IF(X99&lt;41,"mild",IF(X99&lt;61,"moderate",IF(X99&lt;81,"severe","profound")))))</f>
        <v/>
      </c>
      <c r="Z99">
        <f>IF(X99="","",IF(OR(ABS(X99-25)&lt;=5,ABS(X99-40)&lt;=5,ABS(X99-60)&lt;=5,ABS(X99-80)&lt;=5),1,0))</f>
        <v/>
      </c>
      <c r="AA99">
        <f>IF(MAX(ABS(G99-H99),ABS(H99-I99),ABS(I99-J99),ABS(J99-K99),ABS(K99-L99),ABS(L99-M99),ABS(M99-N99))&gt;40,1,0)</f>
        <v/>
      </c>
    </row>
    <row r="100">
      <c r="X100">
        <f>IF(COUNT(H100,I100,J100,L100)&lt;4,"",ROUND(AVERAGE(H100,I100,J100,L100),1))</f>
        <v/>
      </c>
      <c r="Y100">
        <f>IF(X100="","",IF(X100&lt;26,"normal",IF(X100&lt;41,"mild",IF(X100&lt;61,"moderate",IF(X100&lt;81,"severe","profound")))))</f>
        <v/>
      </c>
      <c r="Z100">
        <f>IF(X100="","",IF(OR(ABS(X100-25)&lt;=5,ABS(X100-40)&lt;=5,ABS(X100-60)&lt;=5,ABS(X100-80)&lt;=5),1,0))</f>
        <v/>
      </c>
      <c r="AA100">
        <f>IF(MAX(ABS(G100-H100),ABS(H100-I100),ABS(I100-J100),ABS(J100-K100),ABS(K100-L100),ABS(L100-M100),ABS(M100-N100))&gt;40,1,0)</f>
        <v/>
      </c>
    </row>
    <row r="101">
      <c r="X101">
        <f>IF(COUNT(H101,I101,J101,L101)&lt;4,"",ROUND(AVERAGE(H101,I101,J101,L101),1))</f>
        <v/>
      </c>
      <c r="Y101">
        <f>IF(X101="","",IF(X101&lt;26,"normal",IF(X101&lt;41,"mild",IF(X101&lt;61,"moderate",IF(X101&lt;81,"severe","profound")))))</f>
        <v/>
      </c>
      <c r="Z101">
        <f>IF(X101="","",IF(OR(ABS(X101-25)&lt;=5,ABS(X101-40)&lt;=5,ABS(X101-60)&lt;=5,ABS(X101-80)&lt;=5),1,0))</f>
        <v/>
      </c>
      <c r="AA101">
        <f>IF(MAX(ABS(G101-H101),ABS(H101-I101),ABS(I101-J101),ABS(J101-K101),ABS(K101-L101),ABS(L101-M101),ABS(M101-N101))&gt;40,1,0)</f>
        <v/>
      </c>
    </row>
    <row r="102">
      <c r="X102">
        <f>IF(COUNT(H102,I102,J102,L102)&lt;4,"",ROUND(AVERAGE(H102,I102,J102,L102),1))</f>
        <v/>
      </c>
      <c r="Y102">
        <f>IF(X102="","",IF(X102&lt;26,"normal",IF(X102&lt;41,"mild",IF(X102&lt;61,"moderate",IF(X102&lt;81,"severe","profound")))))</f>
        <v/>
      </c>
      <c r="Z102">
        <f>IF(X102="","",IF(OR(ABS(X102-25)&lt;=5,ABS(X102-40)&lt;=5,ABS(X102-60)&lt;=5,ABS(X102-80)&lt;=5),1,0))</f>
        <v/>
      </c>
      <c r="AA102">
        <f>IF(MAX(ABS(G102-H102),ABS(H102-I102),ABS(I102-J102),ABS(J102-K102),ABS(K102-L102),ABS(L102-M102),ABS(M102-N102))&gt;40,1,0)</f>
        <v/>
      </c>
    </row>
    <row r="103">
      <c r="X103">
        <f>IF(COUNT(H103,I103,J103,L103)&lt;4,"",ROUND(AVERAGE(H103,I103,J103,L103),1))</f>
        <v/>
      </c>
      <c r="Y103">
        <f>IF(X103="","",IF(X103&lt;26,"normal",IF(X103&lt;41,"mild",IF(X103&lt;61,"moderate",IF(X103&lt;81,"severe","profound")))))</f>
        <v/>
      </c>
      <c r="Z103">
        <f>IF(X103="","",IF(OR(ABS(X103-25)&lt;=5,ABS(X103-40)&lt;=5,ABS(X103-60)&lt;=5,ABS(X103-80)&lt;=5),1,0))</f>
        <v/>
      </c>
      <c r="AA103">
        <f>IF(MAX(ABS(G103-H103),ABS(H103-I103),ABS(I103-J103),ABS(J103-K103),ABS(K103-L103),ABS(L103-M103),ABS(M103-N103))&gt;40,1,0)</f>
        <v/>
      </c>
    </row>
    <row r="104">
      <c r="X104">
        <f>IF(COUNT(H104,I104,J104,L104)&lt;4,"",ROUND(AVERAGE(H104,I104,J104,L104),1))</f>
        <v/>
      </c>
      <c r="Y104">
        <f>IF(X104="","",IF(X104&lt;26,"normal",IF(X104&lt;41,"mild",IF(X104&lt;61,"moderate",IF(X104&lt;81,"severe","profound")))))</f>
        <v/>
      </c>
      <c r="Z104">
        <f>IF(X104="","",IF(OR(ABS(X104-25)&lt;=5,ABS(X104-40)&lt;=5,ABS(X104-60)&lt;=5,ABS(X104-80)&lt;=5),1,0))</f>
        <v/>
      </c>
      <c r="AA104">
        <f>IF(MAX(ABS(G104-H104),ABS(H104-I104),ABS(I104-J104),ABS(J104-K104),ABS(K104-L104),ABS(L104-M104),ABS(M104-N104))&gt;40,1,0)</f>
        <v/>
      </c>
    </row>
    <row r="105">
      <c r="X105">
        <f>IF(COUNT(H105,I105,J105,L105)&lt;4,"",ROUND(AVERAGE(H105,I105,J105,L105),1))</f>
        <v/>
      </c>
      <c r="Y105">
        <f>IF(X105="","",IF(X105&lt;26,"normal",IF(X105&lt;41,"mild",IF(X105&lt;61,"moderate",IF(X105&lt;81,"severe","profound")))))</f>
        <v/>
      </c>
      <c r="Z105">
        <f>IF(X105="","",IF(OR(ABS(X105-25)&lt;=5,ABS(X105-40)&lt;=5,ABS(X105-60)&lt;=5,ABS(X105-80)&lt;=5),1,0))</f>
        <v/>
      </c>
      <c r="AA105">
        <f>IF(MAX(ABS(G105-H105),ABS(H105-I105),ABS(I105-J105),ABS(J105-K105),ABS(K105-L105),ABS(L105-M105),ABS(M105-N105))&gt;40,1,0)</f>
        <v/>
      </c>
    </row>
    <row r="106">
      <c r="X106">
        <f>IF(COUNT(H106,I106,J106,L106)&lt;4,"",ROUND(AVERAGE(H106,I106,J106,L106),1))</f>
        <v/>
      </c>
      <c r="Y106">
        <f>IF(X106="","",IF(X106&lt;26,"normal",IF(X106&lt;41,"mild",IF(X106&lt;61,"moderate",IF(X106&lt;81,"severe","profound")))))</f>
        <v/>
      </c>
      <c r="Z106">
        <f>IF(X106="","",IF(OR(ABS(X106-25)&lt;=5,ABS(X106-40)&lt;=5,ABS(X106-60)&lt;=5,ABS(X106-80)&lt;=5),1,0))</f>
        <v/>
      </c>
      <c r="AA106">
        <f>IF(MAX(ABS(G106-H106),ABS(H106-I106),ABS(I106-J106),ABS(J106-K106),ABS(K106-L106),ABS(L106-M106),ABS(M106-N106))&gt;40,1,0)</f>
        <v/>
      </c>
    </row>
    <row r="107">
      <c r="X107">
        <f>IF(COUNT(H107,I107,J107,L107)&lt;4,"",ROUND(AVERAGE(H107,I107,J107,L107),1))</f>
        <v/>
      </c>
      <c r="Y107">
        <f>IF(X107="","",IF(X107&lt;26,"normal",IF(X107&lt;41,"mild",IF(X107&lt;61,"moderate",IF(X107&lt;81,"severe","profound")))))</f>
        <v/>
      </c>
      <c r="Z107">
        <f>IF(X107="","",IF(OR(ABS(X107-25)&lt;=5,ABS(X107-40)&lt;=5,ABS(X107-60)&lt;=5,ABS(X107-80)&lt;=5),1,0))</f>
        <v/>
      </c>
      <c r="AA107">
        <f>IF(MAX(ABS(G107-H107),ABS(H107-I107),ABS(I107-J107),ABS(J107-K107),ABS(K107-L107),ABS(L107-M107),ABS(M107-N107))&gt;40,1,0)</f>
        <v/>
      </c>
    </row>
    <row r="108">
      <c r="X108">
        <f>IF(COUNT(H108,I108,J108,L108)&lt;4,"",ROUND(AVERAGE(H108,I108,J108,L108),1))</f>
        <v/>
      </c>
      <c r="Y108">
        <f>IF(X108="","",IF(X108&lt;26,"normal",IF(X108&lt;41,"mild",IF(X108&lt;61,"moderate",IF(X108&lt;81,"severe","profound")))))</f>
        <v/>
      </c>
      <c r="Z108">
        <f>IF(X108="","",IF(OR(ABS(X108-25)&lt;=5,ABS(X108-40)&lt;=5,ABS(X108-60)&lt;=5,ABS(X108-80)&lt;=5),1,0))</f>
        <v/>
      </c>
      <c r="AA108">
        <f>IF(MAX(ABS(G108-H108),ABS(H108-I108),ABS(I108-J108),ABS(J108-K108),ABS(K108-L108),ABS(L108-M108),ABS(M108-N108))&gt;40,1,0)</f>
        <v/>
      </c>
    </row>
    <row r="109">
      <c r="X109">
        <f>IF(COUNT(H109,I109,J109,L109)&lt;4,"",ROUND(AVERAGE(H109,I109,J109,L109),1))</f>
        <v/>
      </c>
      <c r="Y109">
        <f>IF(X109="","",IF(X109&lt;26,"normal",IF(X109&lt;41,"mild",IF(X109&lt;61,"moderate",IF(X109&lt;81,"severe","profound")))))</f>
        <v/>
      </c>
      <c r="Z109">
        <f>IF(X109="","",IF(OR(ABS(X109-25)&lt;=5,ABS(X109-40)&lt;=5,ABS(X109-60)&lt;=5,ABS(X109-80)&lt;=5),1,0))</f>
        <v/>
      </c>
      <c r="AA109">
        <f>IF(MAX(ABS(G109-H109),ABS(H109-I109),ABS(I109-J109),ABS(J109-K109),ABS(K109-L109),ABS(L109-M109),ABS(M109-N109))&gt;40,1,0)</f>
        <v/>
      </c>
    </row>
    <row r="110">
      <c r="X110">
        <f>IF(COUNT(H110,I110,J110,L110)&lt;4,"",ROUND(AVERAGE(H110,I110,J110,L110),1))</f>
        <v/>
      </c>
      <c r="Y110">
        <f>IF(X110="","",IF(X110&lt;26,"normal",IF(X110&lt;41,"mild",IF(X110&lt;61,"moderate",IF(X110&lt;81,"severe","profound")))))</f>
        <v/>
      </c>
      <c r="Z110">
        <f>IF(X110="","",IF(OR(ABS(X110-25)&lt;=5,ABS(X110-40)&lt;=5,ABS(X110-60)&lt;=5,ABS(X110-80)&lt;=5),1,0))</f>
        <v/>
      </c>
      <c r="AA110">
        <f>IF(MAX(ABS(G110-H110),ABS(H110-I110),ABS(I110-J110),ABS(J110-K110),ABS(K110-L110),ABS(L110-M110),ABS(M110-N110))&gt;40,1,0)</f>
        <v/>
      </c>
    </row>
    <row r="111">
      <c r="X111">
        <f>IF(COUNT(H111,I111,J111,L111)&lt;4,"",ROUND(AVERAGE(H111,I111,J111,L111),1))</f>
        <v/>
      </c>
      <c r="Y111">
        <f>IF(X111="","",IF(X111&lt;26,"normal",IF(X111&lt;41,"mild",IF(X111&lt;61,"moderate",IF(X111&lt;81,"severe","profound")))))</f>
        <v/>
      </c>
      <c r="Z111">
        <f>IF(X111="","",IF(OR(ABS(X111-25)&lt;=5,ABS(X111-40)&lt;=5,ABS(X111-60)&lt;=5,ABS(X111-80)&lt;=5),1,0))</f>
        <v/>
      </c>
      <c r="AA111">
        <f>IF(MAX(ABS(G111-H111),ABS(H111-I111),ABS(I111-J111),ABS(J111-K111),ABS(K111-L111),ABS(L111-M111),ABS(M111-N111))&gt;40,1,0)</f>
        <v/>
      </c>
    </row>
    <row r="112">
      <c r="X112">
        <f>IF(COUNT(H112,I112,J112,L112)&lt;4,"",ROUND(AVERAGE(H112,I112,J112,L112),1))</f>
        <v/>
      </c>
      <c r="Y112">
        <f>IF(X112="","",IF(X112&lt;26,"normal",IF(X112&lt;41,"mild",IF(X112&lt;61,"moderate",IF(X112&lt;81,"severe","profound")))))</f>
        <v/>
      </c>
      <c r="Z112">
        <f>IF(X112="","",IF(OR(ABS(X112-25)&lt;=5,ABS(X112-40)&lt;=5,ABS(X112-60)&lt;=5,ABS(X112-80)&lt;=5),1,0))</f>
        <v/>
      </c>
      <c r="AA112">
        <f>IF(MAX(ABS(G112-H112),ABS(H112-I112),ABS(I112-J112),ABS(J112-K112),ABS(K112-L112),ABS(L112-M112),ABS(M112-N112))&gt;40,1,0)</f>
        <v/>
      </c>
    </row>
    <row r="113">
      <c r="X113">
        <f>IF(COUNT(H113,I113,J113,L113)&lt;4,"",ROUND(AVERAGE(H113,I113,J113,L113),1))</f>
        <v/>
      </c>
      <c r="Y113">
        <f>IF(X113="","",IF(X113&lt;26,"normal",IF(X113&lt;41,"mild",IF(X113&lt;61,"moderate",IF(X113&lt;81,"severe","profound")))))</f>
        <v/>
      </c>
      <c r="Z113">
        <f>IF(X113="","",IF(OR(ABS(X113-25)&lt;=5,ABS(X113-40)&lt;=5,ABS(X113-60)&lt;=5,ABS(X113-80)&lt;=5),1,0))</f>
        <v/>
      </c>
      <c r="AA113">
        <f>IF(MAX(ABS(G113-H113),ABS(H113-I113),ABS(I113-J113),ABS(J113-K113),ABS(K113-L113),ABS(L113-M113),ABS(M113-N113))&gt;40,1,0)</f>
        <v/>
      </c>
    </row>
    <row r="114">
      <c r="X114">
        <f>IF(COUNT(H114,I114,J114,L114)&lt;4,"",ROUND(AVERAGE(H114,I114,J114,L114),1))</f>
        <v/>
      </c>
      <c r="Y114">
        <f>IF(X114="","",IF(X114&lt;26,"normal",IF(X114&lt;41,"mild",IF(X114&lt;61,"moderate",IF(X114&lt;81,"severe","profound")))))</f>
        <v/>
      </c>
      <c r="Z114">
        <f>IF(X114="","",IF(OR(ABS(X114-25)&lt;=5,ABS(X114-40)&lt;=5,ABS(X114-60)&lt;=5,ABS(X114-80)&lt;=5),1,0))</f>
        <v/>
      </c>
      <c r="AA114">
        <f>IF(MAX(ABS(G114-H114),ABS(H114-I114),ABS(I114-J114),ABS(J114-K114),ABS(K114-L114),ABS(L114-M114),ABS(M114-N114))&gt;40,1,0)</f>
        <v/>
      </c>
    </row>
    <row r="115">
      <c r="X115">
        <f>IF(COUNT(H115,I115,J115,L115)&lt;4,"",ROUND(AVERAGE(H115,I115,J115,L115),1))</f>
        <v/>
      </c>
      <c r="Y115">
        <f>IF(X115="","",IF(X115&lt;26,"normal",IF(X115&lt;41,"mild",IF(X115&lt;61,"moderate",IF(X115&lt;81,"severe","profound")))))</f>
        <v/>
      </c>
      <c r="Z115">
        <f>IF(X115="","",IF(OR(ABS(X115-25)&lt;=5,ABS(X115-40)&lt;=5,ABS(X115-60)&lt;=5,ABS(X115-80)&lt;=5),1,0))</f>
        <v/>
      </c>
      <c r="AA115">
        <f>IF(MAX(ABS(G115-H115),ABS(H115-I115),ABS(I115-J115),ABS(J115-K115),ABS(K115-L115),ABS(L115-M115),ABS(M115-N115))&gt;40,1,0)</f>
        <v/>
      </c>
    </row>
    <row r="116">
      <c r="X116">
        <f>IF(COUNT(H116,I116,J116,L116)&lt;4,"",ROUND(AVERAGE(H116,I116,J116,L116),1))</f>
        <v/>
      </c>
      <c r="Y116">
        <f>IF(X116="","",IF(X116&lt;26,"normal",IF(X116&lt;41,"mild",IF(X116&lt;61,"moderate",IF(X116&lt;81,"severe","profound")))))</f>
        <v/>
      </c>
      <c r="Z116">
        <f>IF(X116="","",IF(OR(ABS(X116-25)&lt;=5,ABS(X116-40)&lt;=5,ABS(X116-60)&lt;=5,ABS(X116-80)&lt;=5),1,0))</f>
        <v/>
      </c>
      <c r="AA116">
        <f>IF(MAX(ABS(G116-H116),ABS(H116-I116),ABS(I116-J116),ABS(J116-K116),ABS(K116-L116),ABS(L116-M116),ABS(M116-N116))&gt;40,1,0)</f>
        <v/>
      </c>
    </row>
    <row r="117">
      <c r="X117">
        <f>IF(COUNT(H117,I117,J117,L117)&lt;4,"",ROUND(AVERAGE(H117,I117,J117,L117),1))</f>
        <v/>
      </c>
      <c r="Y117">
        <f>IF(X117="","",IF(X117&lt;26,"normal",IF(X117&lt;41,"mild",IF(X117&lt;61,"moderate",IF(X117&lt;81,"severe","profound")))))</f>
        <v/>
      </c>
      <c r="Z117">
        <f>IF(X117="","",IF(OR(ABS(X117-25)&lt;=5,ABS(X117-40)&lt;=5,ABS(X117-60)&lt;=5,ABS(X117-80)&lt;=5),1,0))</f>
        <v/>
      </c>
      <c r="AA117">
        <f>IF(MAX(ABS(G117-H117),ABS(H117-I117),ABS(I117-J117),ABS(J117-K117),ABS(K117-L117),ABS(L117-M117),ABS(M117-N117))&gt;40,1,0)</f>
        <v/>
      </c>
    </row>
    <row r="118">
      <c r="X118">
        <f>IF(COUNT(H118,I118,J118,L118)&lt;4,"",ROUND(AVERAGE(H118,I118,J118,L118),1))</f>
        <v/>
      </c>
      <c r="Y118">
        <f>IF(X118="","",IF(X118&lt;26,"normal",IF(X118&lt;41,"mild",IF(X118&lt;61,"moderate",IF(X118&lt;81,"severe","profound")))))</f>
        <v/>
      </c>
      <c r="Z118">
        <f>IF(X118="","",IF(OR(ABS(X118-25)&lt;=5,ABS(X118-40)&lt;=5,ABS(X118-60)&lt;=5,ABS(X118-80)&lt;=5),1,0))</f>
        <v/>
      </c>
      <c r="AA118">
        <f>IF(MAX(ABS(G118-H118),ABS(H118-I118),ABS(I118-J118),ABS(J118-K118),ABS(K118-L118),ABS(L118-M118),ABS(M118-N118))&gt;40,1,0)</f>
        <v/>
      </c>
    </row>
    <row r="119">
      <c r="X119">
        <f>IF(COUNT(H119,I119,J119,L119)&lt;4,"",ROUND(AVERAGE(H119,I119,J119,L119),1))</f>
        <v/>
      </c>
      <c r="Y119">
        <f>IF(X119="","",IF(X119&lt;26,"normal",IF(X119&lt;41,"mild",IF(X119&lt;61,"moderate",IF(X119&lt;81,"severe","profound")))))</f>
        <v/>
      </c>
      <c r="Z119">
        <f>IF(X119="","",IF(OR(ABS(X119-25)&lt;=5,ABS(X119-40)&lt;=5,ABS(X119-60)&lt;=5,ABS(X119-80)&lt;=5),1,0))</f>
        <v/>
      </c>
      <c r="AA119">
        <f>IF(MAX(ABS(G119-H119),ABS(H119-I119),ABS(I119-J119),ABS(J119-K119),ABS(K119-L119),ABS(L119-M119),ABS(M119-N119))&gt;40,1,0)</f>
        <v/>
      </c>
    </row>
    <row r="120">
      <c r="X120">
        <f>IF(COUNT(H120,I120,J120,L120)&lt;4,"",ROUND(AVERAGE(H120,I120,J120,L120),1))</f>
        <v/>
      </c>
      <c r="Y120">
        <f>IF(X120="","",IF(X120&lt;26,"normal",IF(X120&lt;41,"mild",IF(X120&lt;61,"moderate",IF(X120&lt;81,"severe","profound")))))</f>
        <v/>
      </c>
      <c r="Z120">
        <f>IF(X120="","",IF(OR(ABS(X120-25)&lt;=5,ABS(X120-40)&lt;=5,ABS(X120-60)&lt;=5,ABS(X120-80)&lt;=5),1,0))</f>
        <v/>
      </c>
      <c r="AA120">
        <f>IF(MAX(ABS(G120-H120),ABS(H120-I120),ABS(I120-J120),ABS(J120-K120),ABS(K120-L120),ABS(L120-M120),ABS(M120-N120))&gt;40,1,0)</f>
        <v/>
      </c>
    </row>
    <row r="121">
      <c r="X121">
        <f>IF(COUNT(H121,I121,J121,L121)&lt;4,"",ROUND(AVERAGE(H121,I121,J121,L121),1))</f>
        <v/>
      </c>
      <c r="Y121">
        <f>IF(X121="","",IF(X121&lt;26,"normal",IF(X121&lt;41,"mild",IF(X121&lt;61,"moderate",IF(X121&lt;81,"severe","profound")))))</f>
        <v/>
      </c>
      <c r="Z121">
        <f>IF(X121="","",IF(OR(ABS(X121-25)&lt;=5,ABS(X121-40)&lt;=5,ABS(X121-60)&lt;=5,ABS(X121-80)&lt;=5),1,0))</f>
        <v/>
      </c>
      <c r="AA121">
        <f>IF(MAX(ABS(G121-H121),ABS(H121-I121),ABS(I121-J121),ABS(J121-K121),ABS(K121-L121),ABS(L121-M121),ABS(M121-N121))&gt;40,1,0)</f>
        <v/>
      </c>
    </row>
    <row r="122">
      <c r="X122">
        <f>IF(COUNT(H122,I122,J122,L122)&lt;4,"",ROUND(AVERAGE(H122,I122,J122,L122),1))</f>
        <v/>
      </c>
      <c r="Y122">
        <f>IF(X122="","",IF(X122&lt;26,"normal",IF(X122&lt;41,"mild",IF(X122&lt;61,"moderate",IF(X122&lt;81,"severe","profound")))))</f>
        <v/>
      </c>
      <c r="Z122">
        <f>IF(X122="","",IF(OR(ABS(X122-25)&lt;=5,ABS(X122-40)&lt;=5,ABS(X122-60)&lt;=5,ABS(X122-80)&lt;=5),1,0))</f>
        <v/>
      </c>
      <c r="AA122">
        <f>IF(MAX(ABS(G122-H122),ABS(H122-I122),ABS(I122-J122),ABS(J122-K122),ABS(K122-L122),ABS(L122-M122),ABS(M122-N122))&gt;40,1,0)</f>
        <v/>
      </c>
    </row>
    <row r="123">
      <c r="X123">
        <f>IF(COUNT(H123,I123,J123,L123)&lt;4,"",ROUND(AVERAGE(H123,I123,J123,L123),1))</f>
        <v/>
      </c>
      <c r="Y123">
        <f>IF(X123="","",IF(X123&lt;26,"normal",IF(X123&lt;41,"mild",IF(X123&lt;61,"moderate",IF(X123&lt;81,"severe","profound")))))</f>
        <v/>
      </c>
      <c r="Z123">
        <f>IF(X123="","",IF(OR(ABS(X123-25)&lt;=5,ABS(X123-40)&lt;=5,ABS(X123-60)&lt;=5,ABS(X123-80)&lt;=5),1,0))</f>
        <v/>
      </c>
      <c r="AA123">
        <f>IF(MAX(ABS(G123-H123),ABS(H123-I123),ABS(I123-J123),ABS(J123-K123),ABS(K123-L123),ABS(L123-M123),ABS(M123-N123))&gt;40,1,0)</f>
        <v/>
      </c>
    </row>
    <row r="124">
      <c r="X124">
        <f>IF(COUNT(H124,I124,J124,L124)&lt;4,"",ROUND(AVERAGE(H124,I124,J124,L124),1))</f>
        <v/>
      </c>
      <c r="Y124">
        <f>IF(X124="","",IF(X124&lt;26,"normal",IF(X124&lt;41,"mild",IF(X124&lt;61,"moderate",IF(X124&lt;81,"severe","profound")))))</f>
        <v/>
      </c>
      <c r="Z124">
        <f>IF(X124="","",IF(OR(ABS(X124-25)&lt;=5,ABS(X124-40)&lt;=5,ABS(X124-60)&lt;=5,ABS(X124-80)&lt;=5),1,0))</f>
        <v/>
      </c>
      <c r="AA124">
        <f>IF(MAX(ABS(G124-H124),ABS(H124-I124),ABS(I124-J124),ABS(J124-K124),ABS(K124-L124),ABS(L124-M124),ABS(M124-N124))&gt;40,1,0)</f>
        <v/>
      </c>
    </row>
    <row r="125">
      <c r="X125">
        <f>IF(COUNT(H125,I125,J125,L125)&lt;4,"",ROUND(AVERAGE(H125,I125,J125,L125),1))</f>
        <v/>
      </c>
      <c r="Y125">
        <f>IF(X125="","",IF(X125&lt;26,"normal",IF(X125&lt;41,"mild",IF(X125&lt;61,"moderate",IF(X125&lt;81,"severe","profound")))))</f>
        <v/>
      </c>
      <c r="Z125">
        <f>IF(X125="","",IF(OR(ABS(X125-25)&lt;=5,ABS(X125-40)&lt;=5,ABS(X125-60)&lt;=5,ABS(X125-80)&lt;=5),1,0))</f>
        <v/>
      </c>
      <c r="AA125">
        <f>IF(MAX(ABS(G125-H125),ABS(H125-I125),ABS(I125-J125),ABS(J125-K125),ABS(K125-L125),ABS(L125-M125),ABS(M125-N125))&gt;40,1,0)</f>
        <v/>
      </c>
    </row>
    <row r="126">
      <c r="X126">
        <f>IF(COUNT(H126,I126,J126,L126)&lt;4,"",ROUND(AVERAGE(H126,I126,J126,L126),1))</f>
        <v/>
      </c>
      <c r="Y126">
        <f>IF(X126="","",IF(X126&lt;26,"normal",IF(X126&lt;41,"mild",IF(X126&lt;61,"moderate",IF(X126&lt;81,"severe","profound")))))</f>
        <v/>
      </c>
      <c r="Z126">
        <f>IF(X126="","",IF(OR(ABS(X126-25)&lt;=5,ABS(X126-40)&lt;=5,ABS(X126-60)&lt;=5,ABS(X126-80)&lt;=5),1,0))</f>
        <v/>
      </c>
      <c r="AA126">
        <f>IF(MAX(ABS(G126-H126),ABS(H126-I126),ABS(I126-J126),ABS(J126-K126),ABS(K126-L126),ABS(L126-M126),ABS(M126-N126))&gt;40,1,0)</f>
        <v/>
      </c>
    </row>
    <row r="127">
      <c r="X127">
        <f>IF(COUNT(H127,I127,J127,L127)&lt;4,"",ROUND(AVERAGE(H127,I127,J127,L127),1))</f>
        <v/>
      </c>
      <c r="Y127">
        <f>IF(X127="","",IF(X127&lt;26,"normal",IF(X127&lt;41,"mild",IF(X127&lt;61,"moderate",IF(X127&lt;81,"severe","profound")))))</f>
        <v/>
      </c>
      <c r="Z127">
        <f>IF(X127="","",IF(OR(ABS(X127-25)&lt;=5,ABS(X127-40)&lt;=5,ABS(X127-60)&lt;=5,ABS(X127-80)&lt;=5),1,0))</f>
        <v/>
      </c>
      <c r="AA127">
        <f>IF(MAX(ABS(G127-H127),ABS(H127-I127),ABS(I127-J127),ABS(J127-K127),ABS(K127-L127),ABS(L127-M127),ABS(M127-N127))&gt;40,1,0)</f>
        <v/>
      </c>
    </row>
    <row r="128">
      <c r="X128">
        <f>IF(COUNT(H128,I128,J128,L128)&lt;4,"",ROUND(AVERAGE(H128,I128,J128,L128),1))</f>
        <v/>
      </c>
      <c r="Y128">
        <f>IF(X128="","",IF(X128&lt;26,"normal",IF(X128&lt;41,"mild",IF(X128&lt;61,"moderate",IF(X128&lt;81,"severe","profound")))))</f>
        <v/>
      </c>
      <c r="Z128">
        <f>IF(X128="","",IF(OR(ABS(X128-25)&lt;=5,ABS(X128-40)&lt;=5,ABS(X128-60)&lt;=5,ABS(X128-80)&lt;=5),1,0))</f>
        <v/>
      </c>
      <c r="AA128">
        <f>IF(MAX(ABS(G128-H128),ABS(H128-I128),ABS(I128-J128),ABS(J128-K128),ABS(K128-L128),ABS(L128-M128),ABS(M128-N128))&gt;40,1,0)</f>
        <v/>
      </c>
    </row>
    <row r="129">
      <c r="X129">
        <f>IF(COUNT(H129,I129,J129,L129)&lt;4,"",ROUND(AVERAGE(H129,I129,J129,L129),1))</f>
        <v/>
      </c>
      <c r="Y129">
        <f>IF(X129="","",IF(X129&lt;26,"normal",IF(X129&lt;41,"mild",IF(X129&lt;61,"moderate",IF(X129&lt;81,"severe","profound")))))</f>
        <v/>
      </c>
      <c r="Z129">
        <f>IF(X129="","",IF(OR(ABS(X129-25)&lt;=5,ABS(X129-40)&lt;=5,ABS(X129-60)&lt;=5,ABS(X129-80)&lt;=5),1,0))</f>
        <v/>
      </c>
      <c r="AA129">
        <f>IF(MAX(ABS(G129-H129),ABS(H129-I129),ABS(I129-J129),ABS(J129-K129),ABS(K129-L129),ABS(L129-M129),ABS(M129-N129))&gt;40,1,0)</f>
        <v/>
      </c>
    </row>
    <row r="130">
      <c r="X130">
        <f>IF(COUNT(H130,I130,J130,L130)&lt;4,"",ROUND(AVERAGE(H130,I130,J130,L130),1))</f>
        <v/>
      </c>
      <c r="Y130">
        <f>IF(X130="","",IF(X130&lt;26,"normal",IF(X130&lt;41,"mild",IF(X130&lt;61,"moderate",IF(X130&lt;81,"severe","profound")))))</f>
        <v/>
      </c>
      <c r="Z130">
        <f>IF(X130="","",IF(OR(ABS(X130-25)&lt;=5,ABS(X130-40)&lt;=5,ABS(X130-60)&lt;=5,ABS(X130-80)&lt;=5),1,0))</f>
        <v/>
      </c>
      <c r="AA130">
        <f>IF(MAX(ABS(G130-H130),ABS(H130-I130),ABS(I130-J130),ABS(J130-K130),ABS(K130-L130),ABS(L130-M130),ABS(M130-N130))&gt;40,1,0)</f>
        <v/>
      </c>
    </row>
    <row r="131">
      <c r="X131">
        <f>IF(COUNT(H131,I131,J131,L131)&lt;4,"",ROUND(AVERAGE(H131,I131,J131,L131),1))</f>
        <v/>
      </c>
      <c r="Y131">
        <f>IF(X131="","",IF(X131&lt;26,"normal",IF(X131&lt;41,"mild",IF(X131&lt;61,"moderate",IF(X131&lt;81,"severe","profound")))))</f>
        <v/>
      </c>
      <c r="Z131">
        <f>IF(X131="","",IF(OR(ABS(X131-25)&lt;=5,ABS(X131-40)&lt;=5,ABS(X131-60)&lt;=5,ABS(X131-80)&lt;=5),1,0))</f>
        <v/>
      </c>
      <c r="AA131">
        <f>IF(MAX(ABS(G131-H131),ABS(H131-I131),ABS(I131-J131),ABS(J131-K131),ABS(K131-L131),ABS(L131-M131),ABS(M131-N131))&gt;40,1,0)</f>
        <v/>
      </c>
    </row>
    <row r="132">
      <c r="X132">
        <f>IF(COUNT(H132,I132,J132,L132)&lt;4,"",ROUND(AVERAGE(H132,I132,J132,L132),1))</f>
        <v/>
      </c>
      <c r="Y132">
        <f>IF(X132="","",IF(X132&lt;26,"normal",IF(X132&lt;41,"mild",IF(X132&lt;61,"moderate",IF(X132&lt;81,"severe","profound")))))</f>
        <v/>
      </c>
      <c r="Z132">
        <f>IF(X132="","",IF(OR(ABS(X132-25)&lt;=5,ABS(X132-40)&lt;=5,ABS(X132-60)&lt;=5,ABS(X132-80)&lt;=5),1,0))</f>
        <v/>
      </c>
      <c r="AA132">
        <f>IF(MAX(ABS(G132-H132),ABS(H132-I132),ABS(I132-J132),ABS(J132-K132),ABS(K132-L132),ABS(L132-M132),ABS(M132-N132))&gt;40,1,0)</f>
        <v/>
      </c>
    </row>
    <row r="133">
      <c r="X133">
        <f>IF(COUNT(H133,I133,J133,L133)&lt;4,"",ROUND(AVERAGE(H133,I133,J133,L133),1))</f>
        <v/>
      </c>
      <c r="Y133">
        <f>IF(X133="","",IF(X133&lt;26,"normal",IF(X133&lt;41,"mild",IF(X133&lt;61,"moderate",IF(X133&lt;81,"severe","profound")))))</f>
        <v/>
      </c>
      <c r="Z133">
        <f>IF(X133="","",IF(OR(ABS(X133-25)&lt;=5,ABS(X133-40)&lt;=5,ABS(X133-60)&lt;=5,ABS(X133-80)&lt;=5),1,0))</f>
        <v/>
      </c>
      <c r="AA133">
        <f>IF(MAX(ABS(G133-H133),ABS(H133-I133),ABS(I133-J133),ABS(J133-K133),ABS(K133-L133),ABS(L133-M133),ABS(M133-N133))&gt;40,1,0)</f>
        <v/>
      </c>
    </row>
    <row r="134">
      <c r="X134">
        <f>IF(COUNT(H134,I134,J134,L134)&lt;4,"",ROUND(AVERAGE(H134,I134,J134,L134),1))</f>
        <v/>
      </c>
      <c r="Y134">
        <f>IF(X134="","",IF(X134&lt;26,"normal",IF(X134&lt;41,"mild",IF(X134&lt;61,"moderate",IF(X134&lt;81,"severe","profound")))))</f>
        <v/>
      </c>
      <c r="Z134">
        <f>IF(X134="","",IF(OR(ABS(X134-25)&lt;=5,ABS(X134-40)&lt;=5,ABS(X134-60)&lt;=5,ABS(X134-80)&lt;=5),1,0))</f>
        <v/>
      </c>
      <c r="AA134">
        <f>IF(MAX(ABS(G134-H134),ABS(H134-I134),ABS(I134-J134),ABS(J134-K134),ABS(K134-L134),ABS(L134-M134),ABS(M134-N134))&gt;40,1,0)</f>
        <v/>
      </c>
    </row>
    <row r="135">
      <c r="X135">
        <f>IF(COUNT(H135,I135,J135,L135)&lt;4,"",ROUND(AVERAGE(H135,I135,J135,L135),1))</f>
        <v/>
      </c>
      <c r="Y135">
        <f>IF(X135="","",IF(X135&lt;26,"normal",IF(X135&lt;41,"mild",IF(X135&lt;61,"moderate",IF(X135&lt;81,"severe","profound")))))</f>
        <v/>
      </c>
      <c r="Z135">
        <f>IF(X135="","",IF(OR(ABS(X135-25)&lt;=5,ABS(X135-40)&lt;=5,ABS(X135-60)&lt;=5,ABS(X135-80)&lt;=5),1,0))</f>
        <v/>
      </c>
      <c r="AA135">
        <f>IF(MAX(ABS(G135-H135),ABS(H135-I135),ABS(I135-J135),ABS(J135-K135),ABS(K135-L135),ABS(L135-M135),ABS(M135-N135))&gt;40,1,0)</f>
        <v/>
      </c>
    </row>
    <row r="136">
      <c r="X136">
        <f>IF(COUNT(H136,I136,J136,L136)&lt;4,"",ROUND(AVERAGE(H136,I136,J136,L136),1))</f>
        <v/>
      </c>
      <c r="Y136">
        <f>IF(X136="","",IF(X136&lt;26,"normal",IF(X136&lt;41,"mild",IF(X136&lt;61,"moderate",IF(X136&lt;81,"severe","profound")))))</f>
        <v/>
      </c>
      <c r="Z136">
        <f>IF(X136="","",IF(OR(ABS(X136-25)&lt;=5,ABS(X136-40)&lt;=5,ABS(X136-60)&lt;=5,ABS(X136-80)&lt;=5),1,0))</f>
        <v/>
      </c>
      <c r="AA136">
        <f>IF(MAX(ABS(G136-H136),ABS(H136-I136),ABS(I136-J136),ABS(J136-K136),ABS(K136-L136),ABS(L136-M136),ABS(M136-N136))&gt;40,1,0)</f>
        <v/>
      </c>
    </row>
    <row r="137">
      <c r="X137">
        <f>IF(COUNT(H137,I137,J137,L137)&lt;4,"",ROUND(AVERAGE(H137,I137,J137,L137),1))</f>
        <v/>
      </c>
      <c r="Y137">
        <f>IF(X137="","",IF(X137&lt;26,"normal",IF(X137&lt;41,"mild",IF(X137&lt;61,"moderate",IF(X137&lt;81,"severe","profound")))))</f>
        <v/>
      </c>
      <c r="Z137">
        <f>IF(X137="","",IF(OR(ABS(X137-25)&lt;=5,ABS(X137-40)&lt;=5,ABS(X137-60)&lt;=5,ABS(X137-80)&lt;=5),1,0))</f>
        <v/>
      </c>
      <c r="AA137">
        <f>IF(MAX(ABS(G137-H137),ABS(H137-I137),ABS(I137-J137),ABS(J137-K137),ABS(K137-L137),ABS(L137-M137),ABS(M137-N137))&gt;40,1,0)</f>
        <v/>
      </c>
    </row>
    <row r="138">
      <c r="X138">
        <f>IF(COUNT(H138,I138,J138,L138)&lt;4,"",ROUND(AVERAGE(H138,I138,J138,L138),1))</f>
        <v/>
      </c>
      <c r="Y138">
        <f>IF(X138="","",IF(X138&lt;26,"normal",IF(X138&lt;41,"mild",IF(X138&lt;61,"moderate",IF(X138&lt;81,"severe","profound")))))</f>
        <v/>
      </c>
      <c r="Z138">
        <f>IF(X138="","",IF(OR(ABS(X138-25)&lt;=5,ABS(X138-40)&lt;=5,ABS(X138-60)&lt;=5,ABS(X138-80)&lt;=5),1,0))</f>
        <v/>
      </c>
      <c r="AA138">
        <f>IF(MAX(ABS(G138-H138),ABS(H138-I138),ABS(I138-J138),ABS(J138-K138),ABS(K138-L138),ABS(L138-M138),ABS(M138-N138))&gt;40,1,0)</f>
        <v/>
      </c>
    </row>
    <row r="139">
      <c r="X139">
        <f>IF(COUNT(H139,I139,J139,L139)&lt;4,"",ROUND(AVERAGE(H139,I139,J139,L139),1))</f>
        <v/>
      </c>
      <c r="Y139">
        <f>IF(X139="","",IF(X139&lt;26,"normal",IF(X139&lt;41,"mild",IF(X139&lt;61,"moderate",IF(X139&lt;81,"severe","profound")))))</f>
        <v/>
      </c>
      <c r="Z139">
        <f>IF(X139="","",IF(OR(ABS(X139-25)&lt;=5,ABS(X139-40)&lt;=5,ABS(X139-60)&lt;=5,ABS(X139-80)&lt;=5),1,0))</f>
        <v/>
      </c>
      <c r="AA139">
        <f>IF(MAX(ABS(G139-H139),ABS(H139-I139),ABS(I139-J139),ABS(J139-K139),ABS(K139-L139),ABS(L139-M139),ABS(M139-N139))&gt;40,1,0)</f>
        <v/>
      </c>
    </row>
    <row r="140">
      <c r="X140">
        <f>IF(COUNT(H140,I140,J140,L140)&lt;4,"",ROUND(AVERAGE(H140,I140,J140,L140),1))</f>
        <v/>
      </c>
      <c r="Y140">
        <f>IF(X140="","",IF(X140&lt;26,"normal",IF(X140&lt;41,"mild",IF(X140&lt;61,"moderate",IF(X140&lt;81,"severe","profound")))))</f>
        <v/>
      </c>
      <c r="Z140">
        <f>IF(X140="","",IF(OR(ABS(X140-25)&lt;=5,ABS(X140-40)&lt;=5,ABS(X140-60)&lt;=5,ABS(X140-80)&lt;=5),1,0))</f>
        <v/>
      </c>
      <c r="AA140">
        <f>IF(MAX(ABS(G140-H140),ABS(H140-I140),ABS(I140-J140),ABS(J140-K140),ABS(K140-L140),ABS(L140-M140),ABS(M140-N140))&gt;40,1,0)</f>
        <v/>
      </c>
    </row>
    <row r="141">
      <c r="X141">
        <f>IF(COUNT(H141,I141,J141,L141)&lt;4,"",ROUND(AVERAGE(H141,I141,J141,L141),1))</f>
        <v/>
      </c>
      <c r="Y141">
        <f>IF(X141="","",IF(X141&lt;26,"normal",IF(X141&lt;41,"mild",IF(X141&lt;61,"moderate",IF(X141&lt;81,"severe","profound")))))</f>
        <v/>
      </c>
      <c r="Z141">
        <f>IF(X141="","",IF(OR(ABS(X141-25)&lt;=5,ABS(X141-40)&lt;=5,ABS(X141-60)&lt;=5,ABS(X141-80)&lt;=5),1,0))</f>
        <v/>
      </c>
      <c r="AA141">
        <f>IF(MAX(ABS(G141-H141),ABS(H141-I141),ABS(I141-J141),ABS(J141-K141),ABS(K141-L141),ABS(L141-M141),ABS(M141-N141))&gt;40,1,0)</f>
        <v/>
      </c>
    </row>
    <row r="142">
      <c r="X142">
        <f>IF(COUNT(H142,I142,J142,L142)&lt;4,"",ROUND(AVERAGE(H142,I142,J142,L142),1))</f>
        <v/>
      </c>
      <c r="Y142">
        <f>IF(X142="","",IF(X142&lt;26,"normal",IF(X142&lt;41,"mild",IF(X142&lt;61,"moderate",IF(X142&lt;81,"severe","profound")))))</f>
        <v/>
      </c>
      <c r="Z142">
        <f>IF(X142="","",IF(OR(ABS(X142-25)&lt;=5,ABS(X142-40)&lt;=5,ABS(X142-60)&lt;=5,ABS(X142-80)&lt;=5),1,0))</f>
        <v/>
      </c>
      <c r="AA142">
        <f>IF(MAX(ABS(G142-H142),ABS(H142-I142),ABS(I142-J142),ABS(J142-K142),ABS(K142-L142),ABS(L142-M142),ABS(M142-N142))&gt;40,1,0)</f>
        <v/>
      </c>
    </row>
    <row r="143">
      <c r="X143">
        <f>IF(COUNT(H143,I143,J143,L143)&lt;4,"",ROUND(AVERAGE(H143,I143,J143,L143),1))</f>
        <v/>
      </c>
      <c r="Y143">
        <f>IF(X143="","",IF(X143&lt;26,"normal",IF(X143&lt;41,"mild",IF(X143&lt;61,"moderate",IF(X143&lt;81,"severe","profound")))))</f>
        <v/>
      </c>
      <c r="Z143">
        <f>IF(X143="","",IF(OR(ABS(X143-25)&lt;=5,ABS(X143-40)&lt;=5,ABS(X143-60)&lt;=5,ABS(X143-80)&lt;=5),1,0))</f>
        <v/>
      </c>
      <c r="AA143">
        <f>IF(MAX(ABS(G143-H143),ABS(H143-I143),ABS(I143-J143),ABS(J143-K143),ABS(K143-L143),ABS(L143-M143),ABS(M143-N143))&gt;40,1,0)</f>
        <v/>
      </c>
    </row>
    <row r="144">
      <c r="X144">
        <f>IF(COUNT(H144,I144,J144,L144)&lt;4,"",ROUND(AVERAGE(H144,I144,J144,L144),1))</f>
        <v/>
      </c>
      <c r="Y144">
        <f>IF(X144="","",IF(X144&lt;26,"normal",IF(X144&lt;41,"mild",IF(X144&lt;61,"moderate",IF(X144&lt;81,"severe","profound")))))</f>
        <v/>
      </c>
      <c r="Z144">
        <f>IF(X144="","",IF(OR(ABS(X144-25)&lt;=5,ABS(X144-40)&lt;=5,ABS(X144-60)&lt;=5,ABS(X144-80)&lt;=5),1,0))</f>
        <v/>
      </c>
      <c r="AA144">
        <f>IF(MAX(ABS(G144-H144),ABS(H144-I144),ABS(I144-J144),ABS(J144-K144),ABS(K144-L144),ABS(L144-M144),ABS(M144-N144))&gt;40,1,0)</f>
        <v/>
      </c>
    </row>
    <row r="145">
      <c r="X145">
        <f>IF(COUNT(H145,I145,J145,L145)&lt;4,"",ROUND(AVERAGE(H145,I145,J145,L145),1))</f>
        <v/>
      </c>
      <c r="Y145">
        <f>IF(X145="","",IF(X145&lt;26,"normal",IF(X145&lt;41,"mild",IF(X145&lt;61,"moderate",IF(X145&lt;81,"severe","profound")))))</f>
        <v/>
      </c>
      <c r="Z145">
        <f>IF(X145="","",IF(OR(ABS(X145-25)&lt;=5,ABS(X145-40)&lt;=5,ABS(X145-60)&lt;=5,ABS(X145-80)&lt;=5),1,0))</f>
        <v/>
      </c>
      <c r="AA145">
        <f>IF(MAX(ABS(G145-H145),ABS(H145-I145),ABS(I145-J145),ABS(J145-K145),ABS(K145-L145),ABS(L145-M145),ABS(M145-N145))&gt;40,1,0)</f>
        <v/>
      </c>
    </row>
    <row r="146">
      <c r="X146">
        <f>IF(COUNT(H146,I146,J146,L146)&lt;4,"",ROUND(AVERAGE(H146,I146,J146,L146),1))</f>
        <v/>
      </c>
      <c r="Y146">
        <f>IF(X146="","",IF(X146&lt;26,"normal",IF(X146&lt;41,"mild",IF(X146&lt;61,"moderate",IF(X146&lt;81,"severe","profound")))))</f>
        <v/>
      </c>
      <c r="Z146">
        <f>IF(X146="","",IF(OR(ABS(X146-25)&lt;=5,ABS(X146-40)&lt;=5,ABS(X146-60)&lt;=5,ABS(X146-80)&lt;=5),1,0))</f>
        <v/>
      </c>
      <c r="AA146">
        <f>IF(MAX(ABS(G146-H146),ABS(H146-I146),ABS(I146-J146),ABS(J146-K146),ABS(K146-L146),ABS(L146-M146),ABS(M146-N146))&gt;40,1,0)</f>
        <v/>
      </c>
    </row>
    <row r="147">
      <c r="X147">
        <f>IF(COUNT(H147,I147,J147,L147)&lt;4,"",ROUND(AVERAGE(H147,I147,J147,L147),1))</f>
        <v/>
      </c>
      <c r="Y147">
        <f>IF(X147="","",IF(X147&lt;26,"normal",IF(X147&lt;41,"mild",IF(X147&lt;61,"moderate",IF(X147&lt;81,"severe","profound")))))</f>
        <v/>
      </c>
      <c r="Z147">
        <f>IF(X147="","",IF(OR(ABS(X147-25)&lt;=5,ABS(X147-40)&lt;=5,ABS(X147-60)&lt;=5,ABS(X147-80)&lt;=5),1,0))</f>
        <v/>
      </c>
      <c r="AA147">
        <f>IF(MAX(ABS(G147-H147),ABS(H147-I147),ABS(I147-J147),ABS(J147-K147),ABS(K147-L147),ABS(L147-M147),ABS(M147-N147))&gt;40,1,0)</f>
        <v/>
      </c>
    </row>
    <row r="148">
      <c r="X148">
        <f>IF(COUNT(H148,I148,J148,L148)&lt;4,"",ROUND(AVERAGE(H148,I148,J148,L148),1))</f>
        <v/>
      </c>
      <c r="Y148">
        <f>IF(X148="","",IF(X148&lt;26,"normal",IF(X148&lt;41,"mild",IF(X148&lt;61,"moderate",IF(X148&lt;81,"severe","profound")))))</f>
        <v/>
      </c>
      <c r="Z148">
        <f>IF(X148="","",IF(OR(ABS(X148-25)&lt;=5,ABS(X148-40)&lt;=5,ABS(X148-60)&lt;=5,ABS(X148-80)&lt;=5),1,0))</f>
        <v/>
      </c>
      <c r="AA148">
        <f>IF(MAX(ABS(G148-H148),ABS(H148-I148),ABS(I148-J148),ABS(J148-K148),ABS(K148-L148),ABS(L148-M148),ABS(M148-N148))&gt;40,1,0)</f>
        <v/>
      </c>
    </row>
    <row r="149">
      <c r="X149">
        <f>IF(COUNT(H149,I149,J149,L149)&lt;4,"",ROUND(AVERAGE(H149,I149,J149,L149),1))</f>
        <v/>
      </c>
      <c r="Y149">
        <f>IF(X149="","",IF(X149&lt;26,"normal",IF(X149&lt;41,"mild",IF(X149&lt;61,"moderate",IF(X149&lt;81,"severe","profound")))))</f>
        <v/>
      </c>
      <c r="Z149">
        <f>IF(X149="","",IF(OR(ABS(X149-25)&lt;=5,ABS(X149-40)&lt;=5,ABS(X149-60)&lt;=5,ABS(X149-80)&lt;=5),1,0))</f>
        <v/>
      </c>
      <c r="AA149">
        <f>IF(MAX(ABS(G149-H149),ABS(H149-I149),ABS(I149-J149),ABS(J149-K149),ABS(K149-L149),ABS(L149-M149),ABS(M149-N149))&gt;40,1,0)</f>
        <v/>
      </c>
    </row>
    <row r="150">
      <c r="X150">
        <f>IF(COUNT(H150,I150,J150,L150)&lt;4,"",ROUND(AVERAGE(H150,I150,J150,L150),1))</f>
        <v/>
      </c>
      <c r="Y150">
        <f>IF(X150="","",IF(X150&lt;26,"normal",IF(X150&lt;41,"mild",IF(X150&lt;61,"moderate",IF(X150&lt;81,"severe","profound")))))</f>
        <v/>
      </c>
      <c r="Z150">
        <f>IF(X150="","",IF(OR(ABS(X150-25)&lt;=5,ABS(X150-40)&lt;=5,ABS(X150-60)&lt;=5,ABS(X150-80)&lt;=5),1,0))</f>
        <v/>
      </c>
      <c r="AA150">
        <f>IF(MAX(ABS(G150-H150),ABS(H150-I150),ABS(I150-J150),ABS(J150-K150),ABS(K150-L150),ABS(L150-M150),ABS(M150-N150))&gt;40,1,0)</f>
        <v/>
      </c>
    </row>
    <row r="151">
      <c r="X151">
        <f>IF(COUNT(H151,I151,J151,L151)&lt;4,"",ROUND(AVERAGE(H151,I151,J151,L151),1))</f>
        <v/>
      </c>
      <c r="Y151">
        <f>IF(X151="","",IF(X151&lt;26,"normal",IF(X151&lt;41,"mild",IF(X151&lt;61,"moderate",IF(X151&lt;81,"severe","profound")))))</f>
        <v/>
      </c>
      <c r="Z151">
        <f>IF(X151="","",IF(OR(ABS(X151-25)&lt;=5,ABS(X151-40)&lt;=5,ABS(X151-60)&lt;=5,ABS(X151-80)&lt;=5),1,0))</f>
        <v/>
      </c>
      <c r="AA151">
        <f>IF(MAX(ABS(G151-H151),ABS(H151-I151),ABS(I151-J151),ABS(J151-K151),ABS(K151-L151),ABS(L151-M151),ABS(M151-N151))&gt;40,1,0)</f>
        <v/>
      </c>
    </row>
    <row r="152">
      <c r="X152">
        <f>IF(COUNT(H152,I152,J152,L152)&lt;4,"",ROUND(AVERAGE(H152,I152,J152,L152),1))</f>
        <v/>
      </c>
      <c r="Y152">
        <f>IF(X152="","",IF(X152&lt;26,"normal",IF(X152&lt;41,"mild",IF(X152&lt;61,"moderate",IF(X152&lt;81,"severe","profound")))))</f>
        <v/>
      </c>
      <c r="Z152">
        <f>IF(X152="","",IF(OR(ABS(X152-25)&lt;=5,ABS(X152-40)&lt;=5,ABS(X152-60)&lt;=5,ABS(X152-80)&lt;=5),1,0))</f>
        <v/>
      </c>
      <c r="AA152">
        <f>IF(MAX(ABS(G152-H152),ABS(H152-I152),ABS(I152-J152),ABS(J152-K152),ABS(K152-L152),ABS(L152-M152),ABS(M152-N152))&gt;40,1,0)</f>
        <v/>
      </c>
    </row>
    <row r="153">
      <c r="X153">
        <f>IF(COUNT(H153,I153,J153,L153)&lt;4,"",ROUND(AVERAGE(H153,I153,J153,L153),1))</f>
        <v/>
      </c>
      <c r="Y153">
        <f>IF(X153="","",IF(X153&lt;26,"normal",IF(X153&lt;41,"mild",IF(X153&lt;61,"moderate",IF(X153&lt;81,"severe","profound")))))</f>
        <v/>
      </c>
      <c r="Z153">
        <f>IF(X153="","",IF(OR(ABS(X153-25)&lt;=5,ABS(X153-40)&lt;=5,ABS(X153-60)&lt;=5,ABS(X153-80)&lt;=5),1,0))</f>
        <v/>
      </c>
      <c r="AA153">
        <f>IF(MAX(ABS(G153-H153),ABS(H153-I153),ABS(I153-J153),ABS(J153-K153),ABS(K153-L153),ABS(L153-M153),ABS(M153-N153))&gt;40,1,0)</f>
        <v/>
      </c>
    </row>
    <row r="154">
      <c r="X154">
        <f>IF(COUNT(H154,I154,J154,L154)&lt;4,"",ROUND(AVERAGE(H154,I154,J154,L154),1))</f>
        <v/>
      </c>
      <c r="Y154">
        <f>IF(X154="","",IF(X154&lt;26,"normal",IF(X154&lt;41,"mild",IF(X154&lt;61,"moderate",IF(X154&lt;81,"severe","profound")))))</f>
        <v/>
      </c>
      <c r="Z154">
        <f>IF(X154="","",IF(OR(ABS(X154-25)&lt;=5,ABS(X154-40)&lt;=5,ABS(X154-60)&lt;=5,ABS(X154-80)&lt;=5),1,0))</f>
        <v/>
      </c>
      <c r="AA154">
        <f>IF(MAX(ABS(G154-H154),ABS(H154-I154),ABS(I154-J154),ABS(J154-K154),ABS(K154-L154),ABS(L154-M154),ABS(M154-N154))&gt;40,1,0)</f>
        <v/>
      </c>
    </row>
    <row r="155">
      <c r="X155">
        <f>IF(COUNT(H155,I155,J155,L155)&lt;4,"",ROUND(AVERAGE(H155,I155,J155,L155),1))</f>
        <v/>
      </c>
      <c r="Y155">
        <f>IF(X155="","",IF(X155&lt;26,"normal",IF(X155&lt;41,"mild",IF(X155&lt;61,"moderate",IF(X155&lt;81,"severe","profound")))))</f>
        <v/>
      </c>
      <c r="Z155">
        <f>IF(X155="","",IF(OR(ABS(X155-25)&lt;=5,ABS(X155-40)&lt;=5,ABS(X155-60)&lt;=5,ABS(X155-80)&lt;=5),1,0))</f>
        <v/>
      </c>
      <c r="AA155">
        <f>IF(MAX(ABS(G155-H155),ABS(H155-I155),ABS(I155-J155),ABS(J155-K155),ABS(K155-L155),ABS(L155-M155),ABS(M155-N155))&gt;40,1,0)</f>
        <v/>
      </c>
    </row>
    <row r="156">
      <c r="X156">
        <f>IF(COUNT(H156,I156,J156,L156)&lt;4,"",ROUND(AVERAGE(H156,I156,J156,L156),1))</f>
        <v/>
      </c>
      <c r="Y156">
        <f>IF(X156="","",IF(X156&lt;26,"normal",IF(X156&lt;41,"mild",IF(X156&lt;61,"moderate",IF(X156&lt;81,"severe","profound")))))</f>
        <v/>
      </c>
      <c r="Z156">
        <f>IF(X156="","",IF(OR(ABS(X156-25)&lt;=5,ABS(X156-40)&lt;=5,ABS(X156-60)&lt;=5,ABS(X156-80)&lt;=5),1,0))</f>
        <v/>
      </c>
      <c r="AA156">
        <f>IF(MAX(ABS(G156-H156),ABS(H156-I156),ABS(I156-J156),ABS(J156-K156),ABS(K156-L156),ABS(L156-M156),ABS(M156-N156))&gt;40,1,0)</f>
        <v/>
      </c>
    </row>
    <row r="157">
      <c r="X157">
        <f>IF(COUNT(H157,I157,J157,L157)&lt;4,"",ROUND(AVERAGE(H157,I157,J157,L157),1))</f>
        <v/>
      </c>
      <c r="Y157">
        <f>IF(X157="","",IF(X157&lt;26,"normal",IF(X157&lt;41,"mild",IF(X157&lt;61,"moderate",IF(X157&lt;81,"severe","profound")))))</f>
        <v/>
      </c>
      <c r="Z157">
        <f>IF(X157="","",IF(OR(ABS(X157-25)&lt;=5,ABS(X157-40)&lt;=5,ABS(X157-60)&lt;=5,ABS(X157-80)&lt;=5),1,0))</f>
        <v/>
      </c>
      <c r="AA157">
        <f>IF(MAX(ABS(G157-H157),ABS(H157-I157),ABS(I157-J157),ABS(J157-K157),ABS(K157-L157),ABS(L157-M157),ABS(M157-N157))&gt;40,1,0)</f>
        <v/>
      </c>
    </row>
    <row r="158">
      <c r="X158">
        <f>IF(COUNT(H158,I158,J158,L158)&lt;4,"",ROUND(AVERAGE(H158,I158,J158,L158),1))</f>
        <v/>
      </c>
      <c r="Y158">
        <f>IF(X158="","",IF(X158&lt;26,"normal",IF(X158&lt;41,"mild",IF(X158&lt;61,"moderate",IF(X158&lt;81,"severe","profound")))))</f>
        <v/>
      </c>
      <c r="Z158">
        <f>IF(X158="","",IF(OR(ABS(X158-25)&lt;=5,ABS(X158-40)&lt;=5,ABS(X158-60)&lt;=5,ABS(X158-80)&lt;=5),1,0))</f>
        <v/>
      </c>
      <c r="AA158">
        <f>IF(MAX(ABS(G158-H158),ABS(H158-I158),ABS(I158-J158),ABS(J158-K158),ABS(K158-L158),ABS(L158-M158),ABS(M158-N158))&gt;40,1,0)</f>
        <v/>
      </c>
    </row>
    <row r="159">
      <c r="X159">
        <f>IF(COUNT(H159,I159,J159,L159)&lt;4,"",ROUND(AVERAGE(H159,I159,J159,L159),1))</f>
        <v/>
      </c>
      <c r="Y159">
        <f>IF(X159="","",IF(X159&lt;26,"normal",IF(X159&lt;41,"mild",IF(X159&lt;61,"moderate",IF(X159&lt;81,"severe","profound")))))</f>
        <v/>
      </c>
      <c r="Z159">
        <f>IF(X159="","",IF(OR(ABS(X159-25)&lt;=5,ABS(X159-40)&lt;=5,ABS(X159-60)&lt;=5,ABS(X159-80)&lt;=5),1,0))</f>
        <v/>
      </c>
      <c r="AA159">
        <f>IF(MAX(ABS(G159-H159),ABS(H159-I159),ABS(I159-J159),ABS(J159-K159),ABS(K159-L159),ABS(L159-M159),ABS(M159-N159))&gt;40,1,0)</f>
        <v/>
      </c>
    </row>
    <row r="160">
      <c r="X160">
        <f>IF(COUNT(H160,I160,J160,L160)&lt;4,"",ROUND(AVERAGE(H160,I160,J160,L160),1))</f>
        <v/>
      </c>
      <c r="Y160">
        <f>IF(X160="","",IF(X160&lt;26,"normal",IF(X160&lt;41,"mild",IF(X160&lt;61,"moderate",IF(X160&lt;81,"severe","profound")))))</f>
        <v/>
      </c>
      <c r="Z160">
        <f>IF(X160="","",IF(OR(ABS(X160-25)&lt;=5,ABS(X160-40)&lt;=5,ABS(X160-60)&lt;=5,ABS(X160-80)&lt;=5),1,0))</f>
        <v/>
      </c>
      <c r="AA160">
        <f>IF(MAX(ABS(G160-H160),ABS(H160-I160),ABS(I160-J160),ABS(J160-K160),ABS(K160-L160),ABS(L160-M160),ABS(M160-N160))&gt;40,1,0)</f>
        <v/>
      </c>
    </row>
    <row r="161">
      <c r="X161">
        <f>IF(COUNT(H161,I161,J161,L161)&lt;4,"",ROUND(AVERAGE(H161,I161,J161,L161),1))</f>
        <v/>
      </c>
      <c r="Y161">
        <f>IF(X161="","",IF(X161&lt;26,"normal",IF(X161&lt;41,"mild",IF(X161&lt;61,"moderate",IF(X161&lt;81,"severe","profound")))))</f>
        <v/>
      </c>
      <c r="Z161">
        <f>IF(X161="","",IF(OR(ABS(X161-25)&lt;=5,ABS(X161-40)&lt;=5,ABS(X161-60)&lt;=5,ABS(X161-80)&lt;=5),1,0))</f>
        <v/>
      </c>
      <c r="AA161">
        <f>IF(MAX(ABS(G161-H161),ABS(H161-I161),ABS(I161-J161),ABS(J161-K161),ABS(K161-L161),ABS(L161-M161),ABS(M161-N161))&gt;40,1,0)</f>
        <v/>
      </c>
    </row>
    <row r="162">
      <c r="X162">
        <f>IF(COUNT(H162,I162,J162,L162)&lt;4,"",ROUND(AVERAGE(H162,I162,J162,L162),1))</f>
        <v/>
      </c>
      <c r="Y162">
        <f>IF(X162="","",IF(X162&lt;26,"normal",IF(X162&lt;41,"mild",IF(X162&lt;61,"moderate",IF(X162&lt;81,"severe","profound")))))</f>
        <v/>
      </c>
      <c r="Z162">
        <f>IF(X162="","",IF(OR(ABS(X162-25)&lt;=5,ABS(X162-40)&lt;=5,ABS(X162-60)&lt;=5,ABS(X162-80)&lt;=5),1,0))</f>
        <v/>
      </c>
      <c r="AA162">
        <f>IF(MAX(ABS(G162-H162),ABS(H162-I162),ABS(I162-J162),ABS(J162-K162),ABS(K162-L162),ABS(L162-M162),ABS(M162-N162))&gt;40,1,0)</f>
        <v/>
      </c>
    </row>
    <row r="163">
      <c r="X163">
        <f>IF(COUNT(H163,I163,J163,L163)&lt;4,"",ROUND(AVERAGE(H163,I163,J163,L163),1))</f>
        <v/>
      </c>
      <c r="Y163">
        <f>IF(X163="","",IF(X163&lt;26,"normal",IF(X163&lt;41,"mild",IF(X163&lt;61,"moderate",IF(X163&lt;81,"severe","profound")))))</f>
        <v/>
      </c>
      <c r="Z163">
        <f>IF(X163="","",IF(OR(ABS(X163-25)&lt;=5,ABS(X163-40)&lt;=5,ABS(X163-60)&lt;=5,ABS(X163-80)&lt;=5),1,0))</f>
        <v/>
      </c>
      <c r="AA163">
        <f>IF(MAX(ABS(G163-H163),ABS(H163-I163),ABS(I163-J163),ABS(J163-K163),ABS(K163-L163),ABS(L163-M163),ABS(M163-N163))&gt;40,1,0)</f>
        <v/>
      </c>
    </row>
    <row r="164">
      <c r="X164">
        <f>IF(COUNT(H164,I164,J164,L164)&lt;4,"",ROUND(AVERAGE(H164,I164,J164,L164),1))</f>
        <v/>
      </c>
      <c r="Y164">
        <f>IF(X164="","",IF(X164&lt;26,"normal",IF(X164&lt;41,"mild",IF(X164&lt;61,"moderate",IF(X164&lt;81,"severe","profound")))))</f>
        <v/>
      </c>
      <c r="Z164">
        <f>IF(X164="","",IF(OR(ABS(X164-25)&lt;=5,ABS(X164-40)&lt;=5,ABS(X164-60)&lt;=5,ABS(X164-80)&lt;=5),1,0))</f>
        <v/>
      </c>
      <c r="AA164">
        <f>IF(MAX(ABS(G164-H164),ABS(H164-I164),ABS(I164-J164),ABS(J164-K164),ABS(K164-L164),ABS(L164-M164),ABS(M164-N164))&gt;40,1,0)</f>
        <v/>
      </c>
    </row>
    <row r="165">
      <c r="X165">
        <f>IF(COUNT(H165,I165,J165,L165)&lt;4,"",ROUND(AVERAGE(H165,I165,J165,L165),1))</f>
        <v/>
      </c>
      <c r="Y165">
        <f>IF(X165="","",IF(X165&lt;26,"normal",IF(X165&lt;41,"mild",IF(X165&lt;61,"moderate",IF(X165&lt;81,"severe","profound")))))</f>
        <v/>
      </c>
      <c r="Z165">
        <f>IF(X165="","",IF(OR(ABS(X165-25)&lt;=5,ABS(X165-40)&lt;=5,ABS(X165-60)&lt;=5,ABS(X165-80)&lt;=5),1,0))</f>
        <v/>
      </c>
      <c r="AA165">
        <f>IF(MAX(ABS(G165-H165),ABS(H165-I165),ABS(I165-J165),ABS(J165-K165),ABS(K165-L165),ABS(L165-M165),ABS(M165-N165))&gt;40,1,0)</f>
        <v/>
      </c>
    </row>
    <row r="166">
      <c r="X166">
        <f>IF(COUNT(H166,I166,J166,L166)&lt;4,"",ROUND(AVERAGE(H166,I166,J166,L166),1))</f>
        <v/>
      </c>
      <c r="Y166">
        <f>IF(X166="","",IF(X166&lt;26,"normal",IF(X166&lt;41,"mild",IF(X166&lt;61,"moderate",IF(X166&lt;81,"severe","profound")))))</f>
        <v/>
      </c>
      <c r="Z166">
        <f>IF(X166="","",IF(OR(ABS(X166-25)&lt;=5,ABS(X166-40)&lt;=5,ABS(X166-60)&lt;=5,ABS(X166-80)&lt;=5),1,0))</f>
        <v/>
      </c>
      <c r="AA166">
        <f>IF(MAX(ABS(G166-H166),ABS(H166-I166),ABS(I166-J166),ABS(J166-K166),ABS(K166-L166),ABS(L166-M166),ABS(M166-N166))&gt;40,1,0)</f>
        <v/>
      </c>
    </row>
    <row r="167">
      <c r="X167">
        <f>IF(COUNT(H167,I167,J167,L167)&lt;4,"",ROUND(AVERAGE(H167,I167,J167,L167),1))</f>
        <v/>
      </c>
      <c r="Y167">
        <f>IF(X167="","",IF(X167&lt;26,"normal",IF(X167&lt;41,"mild",IF(X167&lt;61,"moderate",IF(X167&lt;81,"severe","profound")))))</f>
        <v/>
      </c>
      <c r="Z167">
        <f>IF(X167="","",IF(OR(ABS(X167-25)&lt;=5,ABS(X167-40)&lt;=5,ABS(X167-60)&lt;=5,ABS(X167-80)&lt;=5),1,0))</f>
        <v/>
      </c>
      <c r="AA167">
        <f>IF(MAX(ABS(G167-H167),ABS(H167-I167),ABS(I167-J167),ABS(J167-K167),ABS(K167-L167),ABS(L167-M167),ABS(M167-N167))&gt;40,1,0)</f>
        <v/>
      </c>
    </row>
    <row r="168">
      <c r="X168">
        <f>IF(COUNT(H168,I168,J168,L168)&lt;4,"",ROUND(AVERAGE(H168,I168,J168,L168),1))</f>
        <v/>
      </c>
      <c r="Y168">
        <f>IF(X168="","",IF(X168&lt;26,"normal",IF(X168&lt;41,"mild",IF(X168&lt;61,"moderate",IF(X168&lt;81,"severe","profound")))))</f>
        <v/>
      </c>
      <c r="Z168">
        <f>IF(X168="","",IF(OR(ABS(X168-25)&lt;=5,ABS(X168-40)&lt;=5,ABS(X168-60)&lt;=5,ABS(X168-80)&lt;=5),1,0))</f>
        <v/>
      </c>
      <c r="AA168">
        <f>IF(MAX(ABS(G168-H168),ABS(H168-I168),ABS(I168-J168),ABS(J168-K168),ABS(K168-L168),ABS(L168-M168),ABS(M168-N168))&gt;40,1,0)</f>
        <v/>
      </c>
    </row>
    <row r="169">
      <c r="X169">
        <f>IF(COUNT(H169,I169,J169,L169)&lt;4,"",ROUND(AVERAGE(H169,I169,J169,L169),1))</f>
        <v/>
      </c>
      <c r="Y169">
        <f>IF(X169="","",IF(X169&lt;26,"normal",IF(X169&lt;41,"mild",IF(X169&lt;61,"moderate",IF(X169&lt;81,"severe","profound")))))</f>
        <v/>
      </c>
      <c r="Z169">
        <f>IF(X169="","",IF(OR(ABS(X169-25)&lt;=5,ABS(X169-40)&lt;=5,ABS(X169-60)&lt;=5,ABS(X169-80)&lt;=5),1,0))</f>
        <v/>
      </c>
      <c r="AA169">
        <f>IF(MAX(ABS(G169-H169),ABS(H169-I169),ABS(I169-J169),ABS(J169-K169),ABS(K169-L169),ABS(L169-M169),ABS(M169-N169))&gt;40,1,0)</f>
        <v/>
      </c>
    </row>
    <row r="170">
      <c r="X170">
        <f>IF(COUNT(H170,I170,J170,L170)&lt;4,"",ROUND(AVERAGE(H170,I170,J170,L170),1))</f>
        <v/>
      </c>
      <c r="Y170">
        <f>IF(X170="","",IF(X170&lt;26,"normal",IF(X170&lt;41,"mild",IF(X170&lt;61,"moderate",IF(X170&lt;81,"severe","profound")))))</f>
        <v/>
      </c>
      <c r="Z170">
        <f>IF(X170="","",IF(OR(ABS(X170-25)&lt;=5,ABS(X170-40)&lt;=5,ABS(X170-60)&lt;=5,ABS(X170-80)&lt;=5),1,0))</f>
        <v/>
      </c>
      <c r="AA170">
        <f>IF(MAX(ABS(G170-H170),ABS(H170-I170),ABS(I170-J170),ABS(J170-K170),ABS(K170-L170),ABS(L170-M170),ABS(M170-N170))&gt;40,1,0)</f>
        <v/>
      </c>
    </row>
    <row r="171">
      <c r="X171">
        <f>IF(COUNT(H171,I171,J171,L171)&lt;4,"",ROUND(AVERAGE(H171,I171,J171,L171),1))</f>
        <v/>
      </c>
      <c r="Y171">
        <f>IF(X171="","",IF(X171&lt;26,"normal",IF(X171&lt;41,"mild",IF(X171&lt;61,"moderate",IF(X171&lt;81,"severe","profound")))))</f>
        <v/>
      </c>
      <c r="Z171">
        <f>IF(X171="","",IF(OR(ABS(X171-25)&lt;=5,ABS(X171-40)&lt;=5,ABS(X171-60)&lt;=5,ABS(X171-80)&lt;=5),1,0))</f>
        <v/>
      </c>
      <c r="AA171">
        <f>IF(MAX(ABS(G171-H171),ABS(H171-I171),ABS(I171-J171),ABS(J171-K171),ABS(K171-L171),ABS(L171-M171),ABS(M171-N171))&gt;40,1,0)</f>
        <v/>
      </c>
    </row>
    <row r="172">
      <c r="X172">
        <f>IF(COUNT(H172,I172,J172,L172)&lt;4,"",ROUND(AVERAGE(H172,I172,J172,L172),1))</f>
        <v/>
      </c>
      <c r="Y172">
        <f>IF(X172="","",IF(X172&lt;26,"normal",IF(X172&lt;41,"mild",IF(X172&lt;61,"moderate",IF(X172&lt;81,"severe","profound")))))</f>
        <v/>
      </c>
      <c r="Z172">
        <f>IF(X172="","",IF(OR(ABS(X172-25)&lt;=5,ABS(X172-40)&lt;=5,ABS(X172-60)&lt;=5,ABS(X172-80)&lt;=5),1,0))</f>
        <v/>
      </c>
      <c r="AA172">
        <f>IF(MAX(ABS(G172-H172),ABS(H172-I172),ABS(I172-J172),ABS(J172-K172),ABS(K172-L172),ABS(L172-M172),ABS(M172-N172))&gt;40,1,0)</f>
        <v/>
      </c>
    </row>
    <row r="173">
      <c r="X173">
        <f>IF(COUNT(H173,I173,J173,L173)&lt;4,"",ROUND(AVERAGE(H173,I173,J173,L173),1))</f>
        <v/>
      </c>
      <c r="Y173">
        <f>IF(X173="","",IF(X173&lt;26,"normal",IF(X173&lt;41,"mild",IF(X173&lt;61,"moderate",IF(X173&lt;81,"severe","profound")))))</f>
        <v/>
      </c>
      <c r="Z173">
        <f>IF(X173="","",IF(OR(ABS(X173-25)&lt;=5,ABS(X173-40)&lt;=5,ABS(X173-60)&lt;=5,ABS(X173-80)&lt;=5),1,0))</f>
        <v/>
      </c>
      <c r="AA173">
        <f>IF(MAX(ABS(G173-H173),ABS(H173-I173),ABS(I173-J173),ABS(J173-K173),ABS(K173-L173),ABS(L173-M173),ABS(M173-N173))&gt;40,1,0)</f>
        <v/>
      </c>
    </row>
    <row r="174">
      <c r="X174">
        <f>IF(COUNT(H174,I174,J174,L174)&lt;4,"",ROUND(AVERAGE(H174,I174,J174,L174),1))</f>
        <v/>
      </c>
      <c r="Y174">
        <f>IF(X174="","",IF(X174&lt;26,"normal",IF(X174&lt;41,"mild",IF(X174&lt;61,"moderate",IF(X174&lt;81,"severe","profound")))))</f>
        <v/>
      </c>
      <c r="Z174">
        <f>IF(X174="","",IF(OR(ABS(X174-25)&lt;=5,ABS(X174-40)&lt;=5,ABS(X174-60)&lt;=5,ABS(X174-80)&lt;=5),1,0))</f>
        <v/>
      </c>
      <c r="AA174">
        <f>IF(MAX(ABS(G174-H174),ABS(H174-I174),ABS(I174-J174),ABS(J174-K174),ABS(K174-L174),ABS(L174-M174),ABS(M174-N174))&gt;40,1,0)</f>
        <v/>
      </c>
    </row>
    <row r="175">
      <c r="X175">
        <f>IF(COUNT(H175,I175,J175,L175)&lt;4,"",ROUND(AVERAGE(H175,I175,J175,L175),1))</f>
        <v/>
      </c>
      <c r="Y175">
        <f>IF(X175="","",IF(X175&lt;26,"normal",IF(X175&lt;41,"mild",IF(X175&lt;61,"moderate",IF(X175&lt;81,"severe","profound")))))</f>
        <v/>
      </c>
      <c r="Z175">
        <f>IF(X175="","",IF(OR(ABS(X175-25)&lt;=5,ABS(X175-40)&lt;=5,ABS(X175-60)&lt;=5,ABS(X175-80)&lt;=5),1,0))</f>
        <v/>
      </c>
      <c r="AA175">
        <f>IF(MAX(ABS(G175-H175),ABS(H175-I175),ABS(I175-J175),ABS(J175-K175),ABS(K175-L175),ABS(L175-M175),ABS(M175-N175))&gt;40,1,0)</f>
        <v/>
      </c>
    </row>
    <row r="176">
      <c r="X176">
        <f>IF(COUNT(H176,I176,J176,L176)&lt;4,"",ROUND(AVERAGE(H176,I176,J176,L176),1))</f>
        <v/>
      </c>
      <c r="Y176">
        <f>IF(X176="","",IF(X176&lt;26,"normal",IF(X176&lt;41,"mild",IF(X176&lt;61,"moderate",IF(X176&lt;81,"severe","profound")))))</f>
        <v/>
      </c>
      <c r="Z176">
        <f>IF(X176="","",IF(OR(ABS(X176-25)&lt;=5,ABS(X176-40)&lt;=5,ABS(X176-60)&lt;=5,ABS(X176-80)&lt;=5),1,0))</f>
        <v/>
      </c>
      <c r="AA176">
        <f>IF(MAX(ABS(G176-H176),ABS(H176-I176),ABS(I176-J176),ABS(J176-K176),ABS(K176-L176),ABS(L176-M176),ABS(M176-N176))&gt;40,1,0)</f>
        <v/>
      </c>
    </row>
    <row r="177">
      <c r="X177">
        <f>IF(COUNT(H177,I177,J177,L177)&lt;4,"",ROUND(AVERAGE(H177,I177,J177,L177),1))</f>
        <v/>
      </c>
      <c r="Y177">
        <f>IF(X177="","",IF(X177&lt;26,"normal",IF(X177&lt;41,"mild",IF(X177&lt;61,"moderate",IF(X177&lt;81,"severe","profound")))))</f>
        <v/>
      </c>
      <c r="Z177">
        <f>IF(X177="","",IF(OR(ABS(X177-25)&lt;=5,ABS(X177-40)&lt;=5,ABS(X177-60)&lt;=5,ABS(X177-80)&lt;=5),1,0))</f>
        <v/>
      </c>
      <c r="AA177">
        <f>IF(MAX(ABS(G177-H177),ABS(H177-I177),ABS(I177-J177),ABS(J177-K177),ABS(K177-L177),ABS(L177-M177),ABS(M177-N177))&gt;40,1,0)</f>
        <v/>
      </c>
    </row>
    <row r="178">
      <c r="X178">
        <f>IF(COUNT(H178,I178,J178,L178)&lt;4,"",ROUND(AVERAGE(H178,I178,J178,L178),1))</f>
        <v/>
      </c>
      <c r="Y178">
        <f>IF(X178="","",IF(X178&lt;26,"normal",IF(X178&lt;41,"mild",IF(X178&lt;61,"moderate",IF(X178&lt;81,"severe","profound")))))</f>
        <v/>
      </c>
      <c r="Z178">
        <f>IF(X178="","",IF(OR(ABS(X178-25)&lt;=5,ABS(X178-40)&lt;=5,ABS(X178-60)&lt;=5,ABS(X178-80)&lt;=5),1,0))</f>
        <v/>
      </c>
      <c r="AA178">
        <f>IF(MAX(ABS(G178-H178),ABS(H178-I178),ABS(I178-J178),ABS(J178-K178),ABS(K178-L178),ABS(L178-M178),ABS(M178-N178))&gt;40,1,0)</f>
        <v/>
      </c>
    </row>
    <row r="179">
      <c r="X179">
        <f>IF(COUNT(H179,I179,J179,L179)&lt;4,"",ROUND(AVERAGE(H179,I179,J179,L179),1))</f>
        <v/>
      </c>
      <c r="Y179">
        <f>IF(X179="","",IF(X179&lt;26,"normal",IF(X179&lt;41,"mild",IF(X179&lt;61,"moderate",IF(X179&lt;81,"severe","profound")))))</f>
        <v/>
      </c>
      <c r="Z179">
        <f>IF(X179="","",IF(OR(ABS(X179-25)&lt;=5,ABS(X179-40)&lt;=5,ABS(X179-60)&lt;=5,ABS(X179-80)&lt;=5),1,0))</f>
        <v/>
      </c>
      <c r="AA179">
        <f>IF(MAX(ABS(G179-H179),ABS(H179-I179),ABS(I179-J179),ABS(J179-K179),ABS(K179-L179),ABS(L179-M179),ABS(M179-N179))&gt;40,1,0)</f>
        <v/>
      </c>
    </row>
    <row r="180">
      <c r="X180">
        <f>IF(COUNT(H180,I180,J180,L180)&lt;4,"",ROUND(AVERAGE(H180,I180,J180,L180),1))</f>
        <v/>
      </c>
      <c r="Y180">
        <f>IF(X180="","",IF(X180&lt;26,"normal",IF(X180&lt;41,"mild",IF(X180&lt;61,"moderate",IF(X180&lt;81,"severe","profound")))))</f>
        <v/>
      </c>
      <c r="Z180">
        <f>IF(X180="","",IF(OR(ABS(X180-25)&lt;=5,ABS(X180-40)&lt;=5,ABS(X180-60)&lt;=5,ABS(X180-80)&lt;=5),1,0))</f>
        <v/>
      </c>
      <c r="AA180">
        <f>IF(MAX(ABS(G180-H180),ABS(H180-I180),ABS(I180-J180),ABS(J180-K180),ABS(K180-L180),ABS(L180-M180),ABS(M180-N180))&gt;40,1,0)</f>
        <v/>
      </c>
    </row>
    <row r="181">
      <c r="X181">
        <f>IF(COUNT(H181,I181,J181,L181)&lt;4,"",ROUND(AVERAGE(H181,I181,J181,L181),1))</f>
        <v/>
      </c>
      <c r="Y181">
        <f>IF(X181="","",IF(X181&lt;26,"normal",IF(X181&lt;41,"mild",IF(X181&lt;61,"moderate",IF(X181&lt;81,"severe","profound")))))</f>
        <v/>
      </c>
      <c r="Z181">
        <f>IF(X181="","",IF(OR(ABS(X181-25)&lt;=5,ABS(X181-40)&lt;=5,ABS(X181-60)&lt;=5,ABS(X181-80)&lt;=5),1,0))</f>
        <v/>
      </c>
      <c r="AA181">
        <f>IF(MAX(ABS(G181-H181),ABS(H181-I181),ABS(I181-J181),ABS(J181-K181),ABS(K181-L181),ABS(L181-M181),ABS(M181-N181))&gt;40,1,0)</f>
        <v/>
      </c>
    </row>
    <row r="182">
      <c r="X182">
        <f>IF(COUNT(H182,I182,J182,L182)&lt;4,"",ROUND(AVERAGE(H182,I182,J182,L182),1))</f>
        <v/>
      </c>
      <c r="Y182">
        <f>IF(X182="","",IF(X182&lt;26,"normal",IF(X182&lt;41,"mild",IF(X182&lt;61,"moderate",IF(X182&lt;81,"severe","profound")))))</f>
        <v/>
      </c>
      <c r="Z182">
        <f>IF(X182="","",IF(OR(ABS(X182-25)&lt;=5,ABS(X182-40)&lt;=5,ABS(X182-60)&lt;=5,ABS(X182-80)&lt;=5),1,0))</f>
        <v/>
      </c>
      <c r="AA182">
        <f>IF(MAX(ABS(G182-H182),ABS(H182-I182),ABS(I182-J182),ABS(J182-K182),ABS(K182-L182),ABS(L182-M182),ABS(M182-N182))&gt;40,1,0)</f>
        <v/>
      </c>
    </row>
    <row r="183">
      <c r="X183">
        <f>IF(COUNT(H183,I183,J183,L183)&lt;4,"",ROUND(AVERAGE(H183,I183,J183,L183),1))</f>
        <v/>
      </c>
      <c r="Y183">
        <f>IF(X183="","",IF(X183&lt;26,"normal",IF(X183&lt;41,"mild",IF(X183&lt;61,"moderate",IF(X183&lt;81,"severe","profound")))))</f>
        <v/>
      </c>
      <c r="Z183">
        <f>IF(X183="","",IF(OR(ABS(X183-25)&lt;=5,ABS(X183-40)&lt;=5,ABS(X183-60)&lt;=5,ABS(X183-80)&lt;=5),1,0))</f>
        <v/>
      </c>
      <c r="AA183">
        <f>IF(MAX(ABS(G183-H183),ABS(H183-I183),ABS(I183-J183),ABS(J183-K183),ABS(K183-L183),ABS(L183-M183),ABS(M183-N183))&gt;40,1,0)</f>
        <v/>
      </c>
    </row>
    <row r="184">
      <c r="X184">
        <f>IF(COUNT(H184,I184,J184,L184)&lt;4,"",ROUND(AVERAGE(H184,I184,J184,L184),1))</f>
        <v/>
      </c>
      <c r="Y184">
        <f>IF(X184="","",IF(X184&lt;26,"normal",IF(X184&lt;41,"mild",IF(X184&lt;61,"moderate",IF(X184&lt;81,"severe","profound")))))</f>
        <v/>
      </c>
      <c r="Z184">
        <f>IF(X184="","",IF(OR(ABS(X184-25)&lt;=5,ABS(X184-40)&lt;=5,ABS(X184-60)&lt;=5,ABS(X184-80)&lt;=5),1,0))</f>
        <v/>
      </c>
      <c r="AA184">
        <f>IF(MAX(ABS(G184-H184),ABS(H184-I184),ABS(I184-J184),ABS(J184-K184),ABS(K184-L184),ABS(L184-M184),ABS(M184-N184))&gt;40,1,0)</f>
        <v/>
      </c>
    </row>
    <row r="185">
      <c r="X185">
        <f>IF(COUNT(H185,I185,J185,L185)&lt;4,"",ROUND(AVERAGE(H185,I185,J185,L185),1))</f>
        <v/>
      </c>
      <c r="Y185">
        <f>IF(X185="","",IF(X185&lt;26,"normal",IF(X185&lt;41,"mild",IF(X185&lt;61,"moderate",IF(X185&lt;81,"severe","profound")))))</f>
        <v/>
      </c>
      <c r="Z185">
        <f>IF(X185="","",IF(OR(ABS(X185-25)&lt;=5,ABS(X185-40)&lt;=5,ABS(X185-60)&lt;=5,ABS(X185-80)&lt;=5),1,0))</f>
        <v/>
      </c>
      <c r="AA185">
        <f>IF(MAX(ABS(G185-H185),ABS(H185-I185),ABS(I185-J185),ABS(J185-K185),ABS(K185-L185),ABS(L185-M185),ABS(M185-N185))&gt;40,1,0)</f>
        <v/>
      </c>
    </row>
    <row r="186">
      <c r="X186">
        <f>IF(COUNT(H186,I186,J186,L186)&lt;4,"",ROUND(AVERAGE(H186,I186,J186,L186),1))</f>
        <v/>
      </c>
      <c r="Y186">
        <f>IF(X186="","",IF(X186&lt;26,"normal",IF(X186&lt;41,"mild",IF(X186&lt;61,"moderate",IF(X186&lt;81,"severe","profound")))))</f>
        <v/>
      </c>
      <c r="Z186">
        <f>IF(X186="","",IF(OR(ABS(X186-25)&lt;=5,ABS(X186-40)&lt;=5,ABS(X186-60)&lt;=5,ABS(X186-80)&lt;=5),1,0))</f>
        <v/>
      </c>
      <c r="AA186">
        <f>IF(MAX(ABS(G186-H186),ABS(H186-I186),ABS(I186-J186),ABS(J186-K186),ABS(K186-L186),ABS(L186-M186),ABS(M186-N186))&gt;40,1,0)</f>
        <v/>
      </c>
    </row>
    <row r="187">
      <c r="X187">
        <f>IF(COUNT(H187,I187,J187,L187)&lt;4,"",ROUND(AVERAGE(H187,I187,J187,L187),1))</f>
        <v/>
      </c>
      <c r="Y187">
        <f>IF(X187="","",IF(X187&lt;26,"normal",IF(X187&lt;41,"mild",IF(X187&lt;61,"moderate",IF(X187&lt;81,"severe","profound")))))</f>
        <v/>
      </c>
      <c r="Z187">
        <f>IF(X187="","",IF(OR(ABS(X187-25)&lt;=5,ABS(X187-40)&lt;=5,ABS(X187-60)&lt;=5,ABS(X187-80)&lt;=5),1,0))</f>
        <v/>
      </c>
      <c r="AA187">
        <f>IF(MAX(ABS(G187-H187),ABS(H187-I187),ABS(I187-J187),ABS(J187-K187),ABS(K187-L187),ABS(L187-M187),ABS(M187-N187))&gt;40,1,0)</f>
        <v/>
      </c>
    </row>
    <row r="188">
      <c r="X188">
        <f>IF(COUNT(H188,I188,J188,L188)&lt;4,"",ROUND(AVERAGE(H188,I188,J188,L188),1))</f>
        <v/>
      </c>
      <c r="Y188">
        <f>IF(X188="","",IF(X188&lt;26,"normal",IF(X188&lt;41,"mild",IF(X188&lt;61,"moderate",IF(X188&lt;81,"severe","profound")))))</f>
        <v/>
      </c>
      <c r="Z188">
        <f>IF(X188="","",IF(OR(ABS(X188-25)&lt;=5,ABS(X188-40)&lt;=5,ABS(X188-60)&lt;=5,ABS(X188-80)&lt;=5),1,0))</f>
        <v/>
      </c>
      <c r="AA188">
        <f>IF(MAX(ABS(G188-H188),ABS(H188-I188),ABS(I188-J188),ABS(J188-K188),ABS(K188-L188),ABS(L188-M188),ABS(M188-N188))&gt;40,1,0)</f>
        <v/>
      </c>
    </row>
    <row r="189">
      <c r="X189">
        <f>IF(COUNT(H189,I189,J189,L189)&lt;4,"",ROUND(AVERAGE(H189,I189,J189,L189),1))</f>
        <v/>
      </c>
      <c r="Y189">
        <f>IF(X189="","",IF(X189&lt;26,"normal",IF(X189&lt;41,"mild",IF(X189&lt;61,"moderate",IF(X189&lt;81,"severe","profound")))))</f>
        <v/>
      </c>
      <c r="Z189">
        <f>IF(X189="","",IF(OR(ABS(X189-25)&lt;=5,ABS(X189-40)&lt;=5,ABS(X189-60)&lt;=5,ABS(X189-80)&lt;=5),1,0))</f>
        <v/>
      </c>
      <c r="AA189">
        <f>IF(MAX(ABS(G189-H189),ABS(H189-I189),ABS(I189-J189),ABS(J189-K189),ABS(K189-L189),ABS(L189-M189),ABS(M189-N189))&gt;40,1,0)</f>
        <v/>
      </c>
    </row>
    <row r="190">
      <c r="X190">
        <f>IF(COUNT(H190,I190,J190,L190)&lt;4,"",ROUND(AVERAGE(H190,I190,J190,L190),1))</f>
        <v/>
      </c>
      <c r="Y190">
        <f>IF(X190="","",IF(X190&lt;26,"normal",IF(X190&lt;41,"mild",IF(X190&lt;61,"moderate",IF(X190&lt;81,"severe","profound")))))</f>
        <v/>
      </c>
      <c r="Z190">
        <f>IF(X190="","",IF(OR(ABS(X190-25)&lt;=5,ABS(X190-40)&lt;=5,ABS(X190-60)&lt;=5,ABS(X190-80)&lt;=5),1,0))</f>
        <v/>
      </c>
      <c r="AA190">
        <f>IF(MAX(ABS(G190-H190),ABS(H190-I190),ABS(I190-J190),ABS(J190-K190),ABS(K190-L190),ABS(L190-M190),ABS(M190-N190))&gt;40,1,0)</f>
        <v/>
      </c>
    </row>
    <row r="191">
      <c r="X191">
        <f>IF(COUNT(H191,I191,J191,L191)&lt;4,"",ROUND(AVERAGE(H191,I191,J191,L191),1))</f>
        <v/>
      </c>
      <c r="Y191">
        <f>IF(X191="","",IF(X191&lt;26,"normal",IF(X191&lt;41,"mild",IF(X191&lt;61,"moderate",IF(X191&lt;81,"severe","profound")))))</f>
        <v/>
      </c>
      <c r="Z191">
        <f>IF(X191="","",IF(OR(ABS(X191-25)&lt;=5,ABS(X191-40)&lt;=5,ABS(X191-60)&lt;=5,ABS(X191-80)&lt;=5),1,0))</f>
        <v/>
      </c>
      <c r="AA191">
        <f>IF(MAX(ABS(G191-H191),ABS(H191-I191),ABS(I191-J191),ABS(J191-K191),ABS(K191-L191),ABS(L191-M191),ABS(M191-N191))&gt;40,1,0)</f>
        <v/>
      </c>
    </row>
    <row r="192">
      <c r="X192">
        <f>IF(COUNT(H192,I192,J192,L192)&lt;4,"",ROUND(AVERAGE(H192,I192,J192,L192),1))</f>
        <v/>
      </c>
      <c r="Y192">
        <f>IF(X192="","",IF(X192&lt;26,"normal",IF(X192&lt;41,"mild",IF(X192&lt;61,"moderate",IF(X192&lt;81,"severe","profound")))))</f>
        <v/>
      </c>
      <c r="Z192">
        <f>IF(X192="","",IF(OR(ABS(X192-25)&lt;=5,ABS(X192-40)&lt;=5,ABS(X192-60)&lt;=5,ABS(X192-80)&lt;=5),1,0))</f>
        <v/>
      </c>
      <c r="AA192">
        <f>IF(MAX(ABS(G192-H192),ABS(H192-I192),ABS(I192-J192),ABS(J192-K192),ABS(K192-L192),ABS(L192-M192),ABS(M192-N192))&gt;40,1,0)</f>
        <v/>
      </c>
    </row>
    <row r="193">
      <c r="X193">
        <f>IF(COUNT(H193,I193,J193,L193)&lt;4,"",ROUND(AVERAGE(H193,I193,J193,L193),1))</f>
        <v/>
      </c>
      <c r="Y193">
        <f>IF(X193="","",IF(X193&lt;26,"normal",IF(X193&lt;41,"mild",IF(X193&lt;61,"moderate",IF(X193&lt;81,"severe","profound")))))</f>
        <v/>
      </c>
      <c r="Z193">
        <f>IF(X193="","",IF(OR(ABS(X193-25)&lt;=5,ABS(X193-40)&lt;=5,ABS(X193-60)&lt;=5,ABS(X193-80)&lt;=5),1,0))</f>
        <v/>
      </c>
      <c r="AA193">
        <f>IF(MAX(ABS(G193-H193),ABS(H193-I193),ABS(I193-J193),ABS(J193-K193),ABS(K193-L193),ABS(L193-M193),ABS(M193-N193))&gt;40,1,0)</f>
        <v/>
      </c>
    </row>
    <row r="194">
      <c r="X194">
        <f>IF(COUNT(H194,I194,J194,L194)&lt;4,"",ROUND(AVERAGE(H194,I194,J194,L194),1))</f>
        <v/>
      </c>
      <c r="Y194">
        <f>IF(X194="","",IF(X194&lt;26,"normal",IF(X194&lt;41,"mild",IF(X194&lt;61,"moderate",IF(X194&lt;81,"severe","profound")))))</f>
        <v/>
      </c>
      <c r="Z194">
        <f>IF(X194="","",IF(OR(ABS(X194-25)&lt;=5,ABS(X194-40)&lt;=5,ABS(X194-60)&lt;=5,ABS(X194-80)&lt;=5),1,0))</f>
        <v/>
      </c>
      <c r="AA194">
        <f>IF(MAX(ABS(G194-H194),ABS(H194-I194),ABS(I194-J194),ABS(J194-K194),ABS(K194-L194),ABS(L194-M194),ABS(M194-N194))&gt;40,1,0)</f>
        <v/>
      </c>
    </row>
    <row r="195">
      <c r="X195">
        <f>IF(COUNT(H195,I195,J195,L195)&lt;4,"",ROUND(AVERAGE(H195,I195,J195,L195),1))</f>
        <v/>
      </c>
      <c r="Y195">
        <f>IF(X195="","",IF(X195&lt;26,"normal",IF(X195&lt;41,"mild",IF(X195&lt;61,"moderate",IF(X195&lt;81,"severe","profound")))))</f>
        <v/>
      </c>
      <c r="Z195">
        <f>IF(X195="","",IF(OR(ABS(X195-25)&lt;=5,ABS(X195-40)&lt;=5,ABS(X195-60)&lt;=5,ABS(X195-80)&lt;=5),1,0))</f>
        <v/>
      </c>
      <c r="AA195">
        <f>IF(MAX(ABS(G195-H195),ABS(H195-I195),ABS(I195-J195),ABS(J195-K195),ABS(K195-L195),ABS(L195-M195),ABS(M195-N195))&gt;40,1,0)</f>
        <v/>
      </c>
    </row>
    <row r="196">
      <c r="X196">
        <f>IF(COUNT(H196,I196,J196,L196)&lt;4,"",ROUND(AVERAGE(H196,I196,J196,L196),1))</f>
        <v/>
      </c>
      <c r="Y196">
        <f>IF(X196="","",IF(X196&lt;26,"normal",IF(X196&lt;41,"mild",IF(X196&lt;61,"moderate",IF(X196&lt;81,"severe","profound")))))</f>
        <v/>
      </c>
      <c r="Z196">
        <f>IF(X196="","",IF(OR(ABS(X196-25)&lt;=5,ABS(X196-40)&lt;=5,ABS(X196-60)&lt;=5,ABS(X196-80)&lt;=5),1,0))</f>
        <v/>
      </c>
      <c r="AA196">
        <f>IF(MAX(ABS(G196-H196),ABS(H196-I196),ABS(I196-J196),ABS(J196-K196),ABS(K196-L196),ABS(L196-M196),ABS(M196-N196))&gt;40,1,0)</f>
        <v/>
      </c>
    </row>
    <row r="197">
      <c r="X197">
        <f>IF(COUNT(H197,I197,J197,L197)&lt;4,"",ROUND(AVERAGE(H197,I197,J197,L197),1))</f>
        <v/>
      </c>
      <c r="Y197">
        <f>IF(X197="","",IF(X197&lt;26,"normal",IF(X197&lt;41,"mild",IF(X197&lt;61,"moderate",IF(X197&lt;81,"severe","profound")))))</f>
        <v/>
      </c>
      <c r="Z197">
        <f>IF(X197="","",IF(OR(ABS(X197-25)&lt;=5,ABS(X197-40)&lt;=5,ABS(X197-60)&lt;=5,ABS(X197-80)&lt;=5),1,0))</f>
        <v/>
      </c>
      <c r="AA197">
        <f>IF(MAX(ABS(G197-H197),ABS(H197-I197),ABS(I197-J197),ABS(J197-K197),ABS(K197-L197),ABS(L197-M197),ABS(M197-N197))&gt;40,1,0)</f>
        <v/>
      </c>
    </row>
    <row r="198">
      <c r="X198">
        <f>IF(COUNT(H198,I198,J198,L198)&lt;4,"",ROUND(AVERAGE(H198,I198,J198,L198),1))</f>
        <v/>
      </c>
      <c r="Y198">
        <f>IF(X198="","",IF(X198&lt;26,"normal",IF(X198&lt;41,"mild",IF(X198&lt;61,"moderate",IF(X198&lt;81,"severe","profound")))))</f>
        <v/>
      </c>
      <c r="Z198">
        <f>IF(X198="","",IF(OR(ABS(X198-25)&lt;=5,ABS(X198-40)&lt;=5,ABS(X198-60)&lt;=5,ABS(X198-80)&lt;=5),1,0))</f>
        <v/>
      </c>
      <c r="AA198">
        <f>IF(MAX(ABS(G198-H198),ABS(H198-I198),ABS(I198-J198),ABS(J198-K198),ABS(K198-L198),ABS(L198-M198),ABS(M198-N198))&gt;40,1,0)</f>
        <v/>
      </c>
    </row>
    <row r="199">
      <c r="X199">
        <f>IF(COUNT(H199,I199,J199,L199)&lt;4,"",ROUND(AVERAGE(H199,I199,J199,L199),1))</f>
        <v/>
      </c>
      <c r="Y199">
        <f>IF(X199="","",IF(X199&lt;26,"normal",IF(X199&lt;41,"mild",IF(X199&lt;61,"moderate",IF(X199&lt;81,"severe","profound")))))</f>
        <v/>
      </c>
      <c r="Z199">
        <f>IF(X199="","",IF(OR(ABS(X199-25)&lt;=5,ABS(X199-40)&lt;=5,ABS(X199-60)&lt;=5,ABS(X199-80)&lt;=5),1,0))</f>
        <v/>
      </c>
      <c r="AA199">
        <f>IF(MAX(ABS(G199-H199),ABS(H199-I199),ABS(I199-J199),ABS(J199-K199),ABS(K199-L199),ABS(L199-M199),ABS(M199-N199))&gt;40,1,0)</f>
        <v/>
      </c>
    </row>
    <row r="200">
      <c r="X200">
        <f>IF(COUNT(H200,I200,J200,L200)&lt;4,"",ROUND(AVERAGE(H200,I200,J200,L200),1))</f>
        <v/>
      </c>
      <c r="Y200">
        <f>IF(X200="","",IF(X200&lt;26,"normal",IF(X200&lt;41,"mild",IF(X200&lt;61,"moderate",IF(X200&lt;81,"severe","profound")))))</f>
        <v/>
      </c>
      <c r="Z200">
        <f>IF(X200="","",IF(OR(ABS(X200-25)&lt;=5,ABS(X200-40)&lt;=5,ABS(X200-60)&lt;=5,ABS(X200-80)&lt;=5),1,0))</f>
        <v/>
      </c>
      <c r="AA200">
        <f>IF(MAX(ABS(G200-H200),ABS(H200-I200),ABS(I200-J200),ABS(J200-K200),ABS(K200-L200),ABS(L200-M200),ABS(M200-N200))&gt;40,1,0)</f>
        <v/>
      </c>
    </row>
    <row r="201">
      <c r="X201">
        <f>IF(COUNT(H201,I201,J201,L201)&lt;4,"",ROUND(AVERAGE(H201,I201,J201,L201),1))</f>
        <v/>
      </c>
      <c r="Y201">
        <f>IF(X201="","",IF(X201&lt;26,"normal",IF(X201&lt;41,"mild",IF(X201&lt;61,"moderate",IF(X201&lt;81,"severe","profound")))))</f>
        <v/>
      </c>
      <c r="Z201">
        <f>IF(X201="","",IF(OR(ABS(X201-25)&lt;=5,ABS(X201-40)&lt;=5,ABS(X201-60)&lt;=5,ABS(X201-80)&lt;=5),1,0))</f>
        <v/>
      </c>
      <c r="AA201">
        <f>IF(MAX(ABS(G201-H201),ABS(H201-I201),ABS(I201-J201),ABS(J201-K201),ABS(K201-L201),ABS(L201-M201),ABS(M201-N201))&gt;40,1,0)</f>
        <v/>
      </c>
    </row>
    <row r="202">
      <c r="X202">
        <f>IF(COUNT(H202,I202,J202,L202)&lt;4,"",ROUND(AVERAGE(H202,I202,J202,L202),1))</f>
        <v/>
      </c>
      <c r="Y202">
        <f>IF(X202="","",IF(X202&lt;26,"normal",IF(X202&lt;41,"mild",IF(X202&lt;61,"moderate",IF(X202&lt;81,"severe","profound")))))</f>
        <v/>
      </c>
      <c r="Z202">
        <f>IF(X202="","",IF(OR(ABS(X202-25)&lt;=5,ABS(X202-40)&lt;=5,ABS(X202-60)&lt;=5,ABS(X202-80)&lt;=5),1,0))</f>
        <v/>
      </c>
      <c r="AA202">
        <f>IF(MAX(ABS(G202-H202),ABS(H202-I202),ABS(I202-J202),ABS(J202-K202),ABS(K202-L202),ABS(L202-M202),ABS(M202-N202))&gt;40,1,0)</f>
        <v/>
      </c>
    </row>
    <row r="203">
      <c r="X203">
        <f>IF(COUNT(H203,I203,J203,L203)&lt;4,"",ROUND(AVERAGE(H203,I203,J203,L203),1))</f>
        <v/>
      </c>
      <c r="Y203">
        <f>IF(X203="","",IF(X203&lt;26,"normal",IF(X203&lt;41,"mild",IF(X203&lt;61,"moderate",IF(X203&lt;81,"severe","profound")))))</f>
        <v/>
      </c>
      <c r="Z203">
        <f>IF(X203="","",IF(OR(ABS(X203-25)&lt;=5,ABS(X203-40)&lt;=5,ABS(X203-60)&lt;=5,ABS(X203-80)&lt;=5),1,0))</f>
        <v/>
      </c>
      <c r="AA203">
        <f>IF(MAX(ABS(G203-H203),ABS(H203-I203),ABS(I203-J203),ABS(J203-K203),ABS(K203-L203),ABS(L203-M203),ABS(M203-N203))&gt;40,1,0)</f>
        <v/>
      </c>
    </row>
    <row r="204">
      <c r="X204">
        <f>IF(COUNT(H204,I204,J204,L204)&lt;4,"",ROUND(AVERAGE(H204,I204,J204,L204),1))</f>
        <v/>
      </c>
      <c r="Y204">
        <f>IF(X204="","",IF(X204&lt;26,"normal",IF(X204&lt;41,"mild",IF(X204&lt;61,"moderate",IF(X204&lt;81,"severe","profound")))))</f>
        <v/>
      </c>
      <c r="Z204">
        <f>IF(X204="","",IF(OR(ABS(X204-25)&lt;=5,ABS(X204-40)&lt;=5,ABS(X204-60)&lt;=5,ABS(X204-80)&lt;=5),1,0))</f>
        <v/>
      </c>
      <c r="AA204">
        <f>IF(MAX(ABS(G204-H204),ABS(H204-I204),ABS(I204-J204),ABS(J204-K204),ABS(K204-L204),ABS(L204-M204),ABS(M204-N204))&gt;40,1,0)</f>
        <v/>
      </c>
    </row>
    <row r="205">
      <c r="X205">
        <f>IF(COUNT(H205,I205,J205,L205)&lt;4,"",ROUND(AVERAGE(H205,I205,J205,L205),1))</f>
        <v/>
      </c>
      <c r="Y205">
        <f>IF(X205="","",IF(X205&lt;26,"normal",IF(X205&lt;41,"mild",IF(X205&lt;61,"moderate",IF(X205&lt;81,"severe","profound")))))</f>
        <v/>
      </c>
      <c r="Z205">
        <f>IF(X205="","",IF(OR(ABS(X205-25)&lt;=5,ABS(X205-40)&lt;=5,ABS(X205-60)&lt;=5,ABS(X205-80)&lt;=5),1,0))</f>
        <v/>
      </c>
      <c r="AA205">
        <f>IF(MAX(ABS(G205-H205),ABS(H205-I205),ABS(I205-J205),ABS(J205-K205),ABS(K205-L205),ABS(L205-M205),ABS(M205-N205))&gt;40,1,0)</f>
        <v/>
      </c>
    </row>
    <row r="206">
      <c r="X206">
        <f>IF(COUNT(H206,I206,J206,L206)&lt;4,"",ROUND(AVERAGE(H206,I206,J206,L206),1))</f>
        <v/>
      </c>
      <c r="Y206">
        <f>IF(X206="","",IF(X206&lt;26,"normal",IF(X206&lt;41,"mild",IF(X206&lt;61,"moderate",IF(X206&lt;81,"severe","profound")))))</f>
        <v/>
      </c>
      <c r="Z206">
        <f>IF(X206="","",IF(OR(ABS(X206-25)&lt;=5,ABS(X206-40)&lt;=5,ABS(X206-60)&lt;=5,ABS(X206-80)&lt;=5),1,0))</f>
        <v/>
      </c>
      <c r="AA206">
        <f>IF(MAX(ABS(G206-H206),ABS(H206-I206),ABS(I206-J206),ABS(J206-K206),ABS(K206-L206),ABS(L206-M206),ABS(M206-N206))&gt;40,1,0)</f>
        <v/>
      </c>
    </row>
    <row r="207">
      <c r="X207">
        <f>IF(COUNT(H207,I207,J207,L207)&lt;4,"",ROUND(AVERAGE(H207,I207,J207,L207),1))</f>
        <v/>
      </c>
      <c r="Y207">
        <f>IF(X207="","",IF(X207&lt;26,"normal",IF(X207&lt;41,"mild",IF(X207&lt;61,"moderate",IF(X207&lt;81,"severe","profound")))))</f>
        <v/>
      </c>
      <c r="Z207">
        <f>IF(X207="","",IF(OR(ABS(X207-25)&lt;=5,ABS(X207-40)&lt;=5,ABS(X207-60)&lt;=5,ABS(X207-80)&lt;=5),1,0))</f>
        <v/>
      </c>
      <c r="AA207">
        <f>IF(MAX(ABS(G207-H207),ABS(H207-I207),ABS(I207-J207),ABS(J207-K207),ABS(K207-L207),ABS(L207-M207),ABS(M207-N207))&gt;40,1,0)</f>
        <v/>
      </c>
    </row>
    <row r="208">
      <c r="X208">
        <f>IF(COUNT(H208,I208,J208,L208)&lt;4,"",ROUND(AVERAGE(H208,I208,J208,L208),1))</f>
        <v/>
      </c>
      <c r="Y208">
        <f>IF(X208="","",IF(X208&lt;26,"normal",IF(X208&lt;41,"mild",IF(X208&lt;61,"moderate",IF(X208&lt;81,"severe","profound")))))</f>
        <v/>
      </c>
      <c r="Z208">
        <f>IF(X208="","",IF(OR(ABS(X208-25)&lt;=5,ABS(X208-40)&lt;=5,ABS(X208-60)&lt;=5,ABS(X208-80)&lt;=5),1,0))</f>
        <v/>
      </c>
      <c r="AA208">
        <f>IF(MAX(ABS(G208-H208),ABS(H208-I208),ABS(I208-J208),ABS(J208-K208),ABS(K208-L208),ABS(L208-M208),ABS(M208-N208))&gt;40,1,0)</f>
        <v/>
      </c>
    </row>
    <row r="209">
      <c r="X209">
        <f>IF(COUNT(H209,I209,J209,L209)&lt;4,"",ROUND(AVERAGE(H209,I209,J209,L209),1))</f>
        <v/>
      </c>
      <c r="Y209">
        <f>IF(X209="","",IF(X209&lt;26,"normal",IF(X209&lt;41,"mild",IF(X209&lt;61,"moderate",IF(X209&lt;81,"severe","profound")))))</f>
        <v/>
      </c>
      <c r="Z209">
        <f>IF(X209="","",IF(OR(ABS(X209-25)&lt;=5,ABS(X209-40)&lt;=5,ABS(X209-60)&lt;=5,ABS(X209-80)&lt;=5),1,0))</f>
        <v/>
      </c>
      <c r="AA209">
        <f>IF(MAX(ABS(G209-H209),ABS(H209-I209),ABS(I209-J209),ABS(J209-K209),ABS(K209-L209),ABS(L209-M209),ABS(M209-N209))&gt;40,1,0)</f>
        <v/>
      </c>
    </row>
    <row r="210">
      <c r="X210">
        <f>IF(COUNT(H210,I210,J210,L210)&lt;4,"",ROUND(AVERAGE(H210,I210,J210,L210),1))</f>
        <v/>
      </c>
      <c r="Y210">
        <f>IF(X210="","",IF(X210&lt;26,"normal",IF(X210&lt;41,"mild",IF(X210&lt;61,"moderate",IF(X210&lt;81,"severe","profound")))))</f>
        <v/>
      </c>
      <c r="Z210">
        <f>IF(X210="","",IF(OR(ABS(X210-25)&lt;=5,ABS(X210-40)&lt;=5,ABS(X210-60)&lt;=5,ABS(X210-80)&lt;=5),1,0))</f>
        <v/>
      </c>
      <c r="AA210">
        <f>IF(MAX(ABS(G210-H210),ABS(H210-I210),ABS(I210-J210),ABS(J210-K210),ABS(K210-L210),ABS(L210-M210),ABS(M210-N210))&gt;40,1,0)</f>
        <v/>
      </c>
    </row>
    <row r="211">
      <c r="X211">
        <f>IF(COUNT(H211,I211,J211,L211)&lt;4,"",ROUND(AVERAGE(H211,I211,J211,L211),1))</f>
        <v/>
      </c>
      <c r="Y211">
        <f>IF(X211="","",IF(X211&lt;26,"normal",IF(X211&lt;41,"mild",IF(X211&lt;61,"moderate",IF(X211&lt;81,"severe","profound")))))</f>
        <v/>
      </c>
      <c r="Z211">
        <f>IF(X211="","",IF(OR(ABS(X211-25)&lt;=5,ABS(X211-40)&lt;=5,ABS(X211-60)&lt;=5,ABS(X211-80)&lt;=5),1,0))</f>
        <v/>
      </c>
      <c r="AA211">
        <f>IF(MAX(ABS(G211-H211),ABS(H211-I211),ABS(I211-J211),ABS(J211-K211),ABS(K211-L211),ABS(L211-M211),ABS(M211-N211))&gt;40,1,0)</f>
        <v/>
      </c>
    </row>
    <row r="212">
      <c r="X212">
        <f>IF(COUNT(H212,I212,J212,L212)&lt;4,"",ROUND(AVERAGE(H212,I212,J212,L212),1))</f>
        <v/>
      </c>
      <c r="Y212">
        <f>IF(X212="","",IF(X212&lt;26,"normal",IF(X212&lt;41,"mild",IF(X212&lt;61,"moderate",IF(X212&lt;81,"severe","profound")))))</f>
        <v/>
      </c>
      <c r="Z212">
        <f>IF(X212="","",IF(OR(ABS(X212-25)&lt;=5,ABS(X212-40)&lt;=5,ABS(X212-60)&lt;=5,ABS(X212-80)&lt;=5),1,0))</f>
        <v/>
      </c>
      <c r="AA212">
        <f>IF(MAX(ABS(G212-H212),ABS(H212-I212),ABS(I212-J212),ABS(J212-K212),ABS(K212-L212),ABS(L212-M212),ABS(M212-N212))&gt;40,1,0)</f>
        <v/>
      </c>
    </row>
    <row r="213">
      <c r="X213">
        <f>IF(COUNT(H213,I213,J213,L213)&lt;4,"",ROUND(AVERAGE(H213,I213,J213,L213),1))</f>
        <v/>
      </c>
      <c r="Y213">
        <f>IF(X213="","",IF(X213&lt;26,"normal",IF(X213&lt;41,"mild",IF(X213&lt;61,"moderate",IF(X213&lt;81,"severe","profound")))))</f>
        <v/>
      </c>
      <c r="Z213">
        <f>IF(X213="","",IF(OR(ABS(X213-25)&lt;=5,ABS(X213-40)&lt;=5,ABS(X213-60)&lt;=5,ABS(X213-80)&lt;=5),1,0))</f>
        <v/>
      </c>
      <c r="AA213">
        <f>IF(MAX(ABS(G213-H213),ABS(H213-I213),ABS(I213-J213),ABS(J213-K213),ABS(K213-L213),ABS(L213-M213),ABS(M213-N213))&gt;40,1,0)</f>
        <v/>
      </c>
    </row>
    <row r="214">
      <c r="X214">
        <f>IF(COUNT(H214,I214,J214,L214)&lt;4,"",ROUND(AVERAGE(H214,I214,J214,L214),1))</f>
        <v/>
      </c>
      <c r="Y214">
        <f>IF(X214="","",IF(X214&lt;26,"normal",IF(X214&lt;41,"mild",IF(X214&lt;61,"moderate",IF(X214&lt;81,"severe","profound")))))</f>
        <v/>
      </c>
      <c r="Z214">
        <f>IF(X214="","",IF(OR(ABS(X214-25)&lt;=5,ABS(X214-40)&lt;=5,ABS(X214-60)&lt;=5,ABS(X214-80)&lt;=5),1,0))</f>
        <v/>
      </c>
      <c r="AA214">
        <f>IF(MAX(ABS(G214-H214),ABS(H214-I214),ABS(I214-J214),ABS(J214-K214),ABS(K214-L214),ABS(L214-M214),ABS(M214-N214))&gt;40,1,0)</f>
        <v/>
      </c>
    </row>
    <row r="215">
      <c r="X215">
        <f>IF(COUNT(H215,I215,J215,L215)&lt;4,"",ROUND(AVERAGE(H215,I215,J215,L215),1))</f>
        <v/>
      </c>
      <c r="Y215">
        <f>IF(X215="","",IF(X215&lt;26,"normal",IF(X215&lt;41,"mild",IF(X215&lt;61,"moderate",IF(X215&lt;81,"severe","profound")))))</f>
        <v/>
      </c>
      <c r="Z215">
        <f>IF(X215="","",IF(OR(ABS(X215-25)&lt;=5,ABS(X215-40)&lt;=5,ABS(X215-60)&lt;=5,ABS(X215-80)&lt;=5),1,0))</f>
        <v/>
      </c>
      <c r="AA215">
        <f>IF(MAX(ABS(G215-H215),ABS(H215-I215),ABS(I215-J215),ABS(J215-K215),ABS(K215-L215),ABS(L215-M215),ABS(M215-N215))&gt;40,1,0)</f>
        <v/>
      </c>
    </row>
    <row r="216">
      <c r="X216">
        <f>IF(COUNT(H216,I216,J216,L216)&lt;4,"",ROUND(AVERAGE(H216,I216,J216,L216),1))</f>
        <v/>
      </c>
      <c r="Y216">
        <f>IF(X216="","",IF(X216&lt;26,"normal",IF(X216&lt;41,"mild",IF(X216&lt;61,"moderate",IF(X216&lt;81,"severe","profound")))))</f>
        <v/>
      </c>
      <c r="Z216">
        <f>IF(X216="","",IF(OR(ABS(X216-25)&lt;=5,ABS(X216-40)&lt;=5,ABS(X216-60)&lt;=5,ABS(X216-80)&lt;=5),1,0))</f>
        <v/>
      </c>
      <c r="AA216">
        <f>IF(MAX(ABS(G216-H216),ABS(H216-I216),ABS(I216-J216),ABS(J216-K216),ABS(K216-L216),ABS(L216-M216),ABS(M216-N216))&gt;40,1,0)</f>
        <v/>
      </c>
    </row>
    <row r="217">
      <c r="X217">
        <f>IF(COUNT(H217,I217,J217,L217)&lt;4,"",ROUND(AVERAGE(H217,I217,J217,L217),1))</f>
        <v/>
      </c>
      <c r="Y217">
        <f>IF(X217="","",IF(X217&lt;26,"normal",IF(X217&lt;41,"mild",IF(X217&lt;61,"moderate",IF(X217&lt;81,"severe","profound")))))</f>
        <v/>
      </c>
      <c r="Z217">
        <f>IF(X217="","",IF(OR(ABS(X217-25)&lt;=5,ABS(X217-40)&lt;=5,ABS(X217-60)&lt;=5,ABS(X217-80)&lt;=5),1,0))</f>
        <v/>
      </c>
      <c r="AA217">
        <f>IF(MAX(ABS(G217-H217),ABS(H217-I217),ABS(I217-J217),ABS(J217-K217),ABS(K217-L217),ABS(L217-M217),ABS(M217-N217))&gt;40,1,0)</f>
        <v/>
      </c>
    </row>
    <row r="218">
      <c r="X218">
        <f>IF(COUNT(H218,I218,J218,L218)&lt;4,"",ROUND(AVERAGE(H218,I218,J218,L218),1))</f>
        <v/>
      </c>
      <c r="Y218">
        <f>IF(X218="","",IF(X218&lt;26,"normal",IF(X218&lt;41,"mild",IF(X218&lt;61,"moderate",IF(X218&lt;81,"severe","profound")))))</f>
        <v/>
      </c>
      <c r="Z218">
        <f>IF(X218="","",IF(OR(ABS(X218-25)&lt;=5,ABS(X218-40)&lt;=5,ABS(X218-60)&lt;=5,ABS(X218-80)&lt;=5),1,0))</f>
        <v/>
      </c>
      <c r="AA218">
        <f>IF(MAX(ABS(G218-H218),ABS(H218-I218),ABS(I218-J218),ABS(J218-K218),ABS(K218-L218),ABS(L218-M218),ABS(M218-N218))&gt;40,1,0)</f>
        <v/>
      </c>
    </row>
    <row r="219">
      <c r="X219">
        <f>IF(COUNT(H219,I219,J219,L219)&lt;4,"",ROUND(AVERAGE(H219,I219,J219,L219),1))</f>
        <v/>
      </c>
      <c r="Y219">
        <f>IF(X219="","",IF(X219&lt;26,"normal",IF(X219&lt;41,"mild",IF(X219&lt;61,"moderate",IF(X219&lt;81,"severe","profound")))))</f>
        <v/>
      </c>
      <c r="Z219">
        <f>IF(X219="","",IF(OR(ABS(X219-25)&lt;=5,ABS(X219-40)&lt;=5,ABS(X219-60)&lt;=5,ABS(X219-80)&lt;=5),1,0))</f>
        <v/>
      </c>
      <c r="AA219">
        <f>IF(MAX(ABS(G219-H219),ABS(H219-I219),ABS(I219-J219),ABS(J219-K219),ABS(K219-L219),ABS(L219-M219),ABS(M219-N219))&gt;40,1,0)</f>
        <v/>
      </c>
    </row>
    <row r="220">
      <c r="X220">
        <f>IF(COUNT(H220,I220,J220,L220)&lt;4,"",ROUND(AVERAGE(H220,I220,J220,L220),1))</f>
        <v/>
      </c>
      <c r="Y220">
        <f>IF(X220="","",IF(X220&lt;26,"normal",IF(X220&lt;41,"mild",IF(X220&lt;61,"moderate",IF(X220&lt;81,"severe","profound")))))</f>
        <v/>
      </c>
      <c r="Z220">
        <f>IF(X220="","",IF(OR(ABS(X220-25)&lt;=5,ABS(X220-40)&lt;=5,ABS(X220-60)&lt;=5,ABS(X220-80)&lt;=5),1,0))</f>
        <v/>
      </c>
      <c r="AA220">
        <f>IF(MAX(ABS(G220-H220),ABS(H220-I220),ABS(I220-J220),ABS(J220-K220),ABS(K220-L220),ABS(L220-M220),ABS(M220-N220))&gt;40,1,0)</f>
        <v/>
      </c>
    </row>
    <row r="221">
      <c r="X221">
        <f>IF(COUNT(H221,I221,J221,L221)&lt;4,"",ROUND(AVERAGE(H221,I221,J221,L221),1))</f>
        <v/>
      </c>
      <c r="Y221">
        <f>IF(X221="","",IF(X221&lt;26,"normal",IF(X221&lt;41,"mild",IF(X221&lt;61,"moderate",IF(X221&lt;81,"severe","profound")))))</f>
        <v/>
      </c>
      <c r="Z221">
        <f>IF(X221="","",IF(OR(ABS(X221-25)&lt;=5,ABS(X221-40)&lt;=5,ABS(X221-60)&lt;=5,ABS(X221-80)&lt;=5),1,0))</f>
        <v/>
      </c>
      <c r="AA221">
        <f>IF(MAX(ABS(G221-H221),ABS(H221-I221),ABS(I221-J221),ABS(J221-K221),ABS(K221-L221),ABS(L221-M221),ABS(M221-N221))&gt;40,1,0)</f>
        <v/>
      </c>
    </row>
    <row r="222">
      <c r="X222">
        <f>IF(COUNT(H222,I222,J222,L222)&lt;4,"",ROUND(AVERAGE(H222,I222,J222,L222),1))</f>
        <v/>
      </c>
      <c r="Y222">
        <f>IF(X222="","",IF(X222&lt;26,"normal",IF(X222&lt;41,"mild",IF(X222&lt;61,"moderate",IF(X222&lt;81,"severe","profound")))))</f>
        <v/>
      </c>
      <c r="Z222">
        <f>IF(X222="","",IF(OR(ABS(X222-25)&lt;=5,ABS(X222-40)&lt;=5,ABS(X222-60)&lt;=5,ABS(X222-80)&lt;=5),1,0))</f>
        <v/>
      </c>
      <c r="AA222">
        <f>IF(MAX(ABS(G222-H222),ABS(H222-I222),ABS(I222-J222),ABS(J222-K222),ABS(K222-L222),ABS(L222-M222),ABS(M222-N222))&gt;40,1,0)</f>
        <v/>
      </c>
    </row>
    <row r="223">
      <c r="X223">
        <f>IF(COUNT(H223,I223,J223,L223)&lt;4,"",ROUND(AVERAGE(H223,I223,J223,L223),1))</f>
        <v/>
      </c>
      <c r="Y223">
        <f>IF(X223="","",IF(X223&lt;26,"normal",IF(X223&lt;41,"mild",IF(X223&lt;61,"moderate",IF(X223&lt;81,"severe","profound")))))</f>
        <v/>
      </c>
      <c r="Z223">
        <f>IF(X223="","",IF(OR(ABS(X223-25)&lt;=5,ABS(X223-40)&lt;=5,ABS(X223-60)&lt;=5,ABS(X223-80)&lt;=5),1,0))</f>
        <v/>
      </c>
      <c r="AA223">
        <f>IF(MAX(ABS(G223-H223),ABS(H223-I223),ABS(I223-J223),ABS(J223-K223),ABS(K223-L223),ABS(L223-M223),ABS(M223-N223))&gt;40,1,0)</f>
        <v/>
      </c>
    </row>
    <row r="224">
      <c r="X224">
        <f>IF(COUNT(H224,I224,J224,L224)&lt;4,"",ROUND(AVERAGE(H224,I224,J224,L224),1))</f>
        <v/>
      </c>
      <c r="Y224">
        <f>IF(X224="","",IF(X224&lt;26,"normal",IF(X224&lt;41,"mild",IF(X224&lt;61,"moderate",IF(X224&lt;81,"severe","profound")))))</f>
        <v/>
      </c>
      <c r="Z224">
        <f>IF(X224="","",IF(OR(ABS(X224-25)&lt;=5,ABS(X224-40)&lt;=5,ABS(X224-60)&lt;=5,ABS(X224-80)&lt;=5),1,0))</f>
        <v/>
      </c>
      <c r="AA224">
        <f>IF(MAX(ABS(G224-H224),ABS(H224-I224),ABS(I224-J224),ABS(J224-K224),ABS(K224-L224),ABS(L224-M224),ABS(M224-N224))&gt;40,1,0)</f>
        <v/>
      </c>
    </row>
    <row r="225">
      <c r="X225">
        <f>IF(COUNT(H225,I225,J225,L225)&lt;4,"",ROUND(AVERAGE(H225,I225,J225,L225),1))</f>
        <v/>
      </c>
      <c r="Y225">
        <f>IF(X225="","",IF(X225&lt;26,"normal",IF(X225&lt;41,"mild",IF(X225&lt;61,"moderate",IF(X225&lt;81,"severe","profound")))))</f>
        <v/>
      </c>
      <c r="Z225">
        <f>IF(X225="","",IF(OR(ABS(X225-25)&lt;=5,ABS(X225-40)&lt;=5,ABS(X225-60)&lt;=5,ABS(X225-80)&lt;=5),1,0))</f>
        <v/>
      </c>
      <c r="AA225">
        <f>IF(MAX(ABS(G225-H225),ABS(H225-I225),ABS(I225-J225),ABS(J225-K225),ABS(K225-L225),ABS(L225-M225),ABS(M225-N225))&gt;40,1,0)</f>
        <v/>
      </c>
    </row>
    <row r="226">
      <c r="X226">
        <f>IF(COUNT(H226,I226,J226,L226)&lt;4,"",ROUND(AVERAGE(H226,I226,J226,L226),1))</f>
        <v/>
      </c>
      <c r="Y226">
        <f>IF(X226="","",IF(X226&lt;26,"normal",IF(X226&lt;41,"mild",IF(X226&lt;61,"moderate",IF(X226&lt;81,"severe","profound")))))</f>
        <v/>
      </c>
      <c r="Z226">
        <f>IF(X226="","",IF(OR(ABS(X226-25)&lt;=5,ABS(X226-40)&lt;=5,ABS(X226-60)&lt;=5,ABS(X226-80)&lt;=5),1,0))</f>
        <v/>
      </c>
      <c r="AA226">
        <f>IF(MAX(ABS(G226-H226),ABS(H226-I226),ABS(I226-J226),ABS(J226-K226),ABS(K226-L226),ABS(L226-M226),ABS(M226-N226))&gt;40,1,0)</f>
        <v/>
      </c>
    </row>
    <row r="227">
      <c r="X227">
        <f>IF(COUNT(H227,I227,J227,L227)&lt;4,"",ROUND(AVERAGE(H227,I227,J227,L227),1))</f>
        <v/>
      </c>
      <c r="Y227">
        <f>IF(X227="","",IF(X227&lt;26,"normal",IF(X227&lt;41,"mild",IF(X227&lt;61,"moderate",IF(X227&lt;81,"severe","profound")))))</f>
        <v/>
      </c>
      <c r="Z227">
        <f>IF(X227="","",IF(OR(ABS(X227-25)&lt;=5,ABS(X227-40)&lt;=5,ABS(X227-60)&lt;=5,ABS(X227-80)&lt;=5),1,0))</f>
        <v/>
      </c>
      <c r="AA227">
        <f>IF(MAX(ABS(G227-H227),ABS(H227-I227),ABS(I227-J227),ABS(J227-K227),ABS(K227-L227),ABS(L227-M227),ABS(M227-N227))&gt;40,1,0)</f>
        <v/>
      </c>
    </row>
    <row r="228">
      <c r="X228">
        <f>IF(COUNT(H228,I228,J228,L228)&lt;4,"",ROUND(AVERAGE(H228,I228,J228,L228),1))</f>
        <v/>
      </c>
      <c r="Y228">
        <f>IF(X228="","",IF(X228&lt;26,"normal",IF(X228&lt;41,"mild",IF(X228&lt;61,"moderate",IF(X228&lt;81,"severe","profound")))))</f>
        <v/>
      </c>
      <c r="Z228">
        <f>IF(X228="","",IF(OR(ABS(X228-25)&lt;=5,ABS(X228-40)&lt;=5,ABS(X228-60)&lt;=5,ABS(X228-80)&lt;=5),1,0))</f>
        <v/>
      </c>
      <c r="AA228">
        <f>IF(MAX(ABS(G228-H228),ABS(H228-I228),ABS(I228-J228),ABS(J228-K228),ABS(K228-L228),ABS(L228-M228),ABS(M228-N228))&gt;40,1,0)</f>
        <v/>
      </c>
    </row>
    <row r="229">
      <c r="X229">
        <f>IF(COUNT(H229,I229,J229,L229)&lt;4,"",ROUND(AVERAGE(H229,I229,J229,L229),1))</f>
        <v/>
      </c>
      <c r="Y229">
        <f>IF(X229="","",IF(X229&lt;26,"normal",IF(X229&lt;41,"mild",IF(X229&lt;61,"moderate",IF(X229&lt;81,"severe","profound")))))</f>
        <v/>
      </c>
      <c r="Z229">
        <f>IF(X229="","",IF(OR(ABS(X229-25)&lt;=5,ABS(X229-40)&lt;=5,ABS(X229-60)&lt;=5,ABS(X229-80)&lt;=5),1,0))</f>
        <v/>
      </c>
      <c r="AA229">
        <f>IF(MAX(ABS(G229-H229),ABS(H229-I229),ABS(I229-J229),ABS(J229-K229),ABS(K229-L229),ABS(L229-M229),ABS(M229-N229))&gt;40,1,0)</f>
        <v/>
      </c>
    </row>
    <row r="230">
      <c r="X230">
        <f>IF(COUNT(H230,I230,J230,L230)&lt;4,"",ROUND(AVERAGE(H230,I230,J230,L230),1))</f>
        <v/>
      </c>
      <c r="Y230">
        <f>IF(X230="","",IF(X230&lt;26,"normal",IF(X230&lt;41,"mild",IF(X230&lt;61,"moderate",IF(X230&lt;81,"severe","profound")))))</f>
        <v/>
      </c>
      <c r="Z230">
        <f>IF(X230="","",IF(OR(ABS(X230-25)&lt;=5,ABS(X230-40)&lt;=5,ABS(X230-60)&lt;=5,ABS(X230-80)&lt;=5),1,0))</f>
        <v/>
      </c>
      <c r="AA230">
        <f>IF(MAX(ABS(G230-H230),ABS(H230-I230),ABS(I230-J230),ABS(J230-K230),ABS(K230-L230),ABS(L230-M230),ABS(M230-N230))&gt;40,1,0)</f>
        <v/>
      </c>
    </row>
    <row r="231">
      <c r="X231">
        <f>IF(COUNT(H231,I231,J231,L231)&lt;4,"",ROUND(AVERAGE(H231,I231,J231,L231),1))</f>
        <v/>
      </c>
      <c r="Y231">
        <f>IF(X231="","",IF(X231&lt;26,"normal",IF(X231&lt;41,"mild",IF(X231&lt;61,"moderate",IF(X231&lt;81,"severe","profound")))))</f>
        <v/>
      </c>
      <c r="Z231">
        <f>IF(X231="","",IF(OR(ABS(X231-25)&lt;=5,ABS(X231-40)&lt;=5,ABS(X231-60)&lt;=5,ABS(X231-80)&lt;=5),1,0))</f>
        <v/>
      </c>
      <c r="AA231">
        <f>IF(MAX(ABS(G231-H231),ABS(H231-I231),ABS(I231-J231),ABS(J231-K231),ABS(K231-L231),ABS(L231-M231),ABS(M231-N231))&gt;40,1,0)</f>
        <v/>
      </c>
    </row>
    <row r="232">
      <c r="X232">
        <f>IF(COUNT(H232,I232,J232,L232)&lt;4,"",ROUND(AVERAGE(H232,I232,J232,L232),1))</f>
        <v/>
      </c>
      <c r="Y232">
        <f>IF(X232="","",IF(X232&lt;26,"normal",IF(X232&lt;41,"mild",IF(X232&lt;61,"moderate",IF(X232&lt;81,"severe","profound")))))</f>
        <v/>
      </c>
      <c r="Z232">
        <f>IF(X232="","",IF(OR(ABS(X232-25)&lt;=5,ABS(X232-40)&lt;=5,ABS(X232-60)&lt;=5,ABS(X232-80)&lt;=5),1,0))</f>
        <v/>
      </c>
      <c r="AA232">
        <f>IF(MAX(ABS(G232-H232),ABS(H232-I232),ABS(I232-J232),ABS(J232-K232),ABS(K232-L232),ABS(L232-M232),ABS(M232-N232))&gt;40,1,0)</f>
        <v/>
      </c>
    </row>
    <row r="233">
      <c r="X233">
        <f>IF(COUNT(H233,I233,J233,L233)&lt;4,"",ROUND(AVERAGE(H233,I233,J233,L233),1))</f>
        <v/>
      </c>
      <c r="Y233">
        <f>IF(X233="","",IF(X233&lt;26,"normal",IF(X233&lt;41,"mild",IF(X233&lt;61,"moderate",IF(X233&lt;81,"severe","profound")))))</f>
        <v/>
      </c>
      <c r="Z233">
        <f>IF(X233="","",IF(OR(ABS(X233-25)&lt;=5,ABS(X233-40)&lt;=5,ABS(X233-60)&lt;=5,ABS(X233-80)&lt;=5),1,0))</f>
        <v/>
      </c>
      <c r="AA233">
        <f>IF(MAX(ABS(G233-H233),ABS(H233-I233),ABS(I233-J233),ABS(J233-K233),ABS(K233-L233),ABS(L233-M233),ABS(M233-N233))&gt;40,1,0)</f>
        <v/>
      </c>
    </row>
    <row r="234">
      <c r="X234">
        <f>IF(COUNT(H234,I234,J234,L234)&lt;4,"",ROUND(AVERAGE(H234,I234,J234,L234),1))</f>
        <v/>
      </c>
      <c r="Y234">
        <f>IF(X234="","",IF(X234&lt;26,"normal",IF(X234&lt;41,"mild",IF(X234&lt;61,"moderate",IF(X234&lt;81,"severe","profound")))))</f>
        <v/>
      </c>
      <c r="Z234">
        <f>IF(X234="","",IF(OR(ABS(X234-25)&lt;=5,ABS(X234-40)&lt;=5,ABS(X234-60)&lt;=5,ABS(X234-80)&lt;=5),1,0))</f>
        <v/>
      </c>
      <c r="AA234">
        <f>IF(MAX(ABS(G234-H234),ABS(H234-I234),ABS(I234-J234),ABS(J234-K234),ABS(K234-L234),ABS(L234-M234),ABS(M234-N234))&gt;40,1,0)</f>
        <v/>
      </c>
    </row>
    <row r="235">
      <c r="X235">
        <f>IF(COUNT(H235,I235,J235,L235)&lt;4,"",ROUND(AVERAGE(H235,I235,J235,L235),1))</f>
        <v/>
      </c>
      <c r="Y235">
        <f>IF(X235="","",IF(X235&lt;26,"normal",IF(X235&lt;41,"mild",IF(X235&lt;61,"moderate",IF(X235&lt;81,"severe","profound")))))</f>
        <v/>
      </c>
      <c r="Z235">
        <f>IF(X235="","",IF(OR(ABS(X235-25)&lt;=5,ABS(X235-40)&lt;=5,ABS(X235-60)&lt;=5,ABS(X235-80)&lt;=5),1,0))</f>
        <v/>
      </c>
      <c r="AA235">
        <f>IF(MAX(ABS(G235-H235),ABS(H235-I235),ABS(I235-J235),ABS(J235-K235),ABS(K235-L235),ABS(L235-M235),ABS(M235-N235))&gt;40,1,0)</f>
        <v/>
      </c>
    </row>
    <row r="236">
      <c r="X236">
        <f>IF(COUNT(H236,I236,J236,L236)&lt;4,"",ROUND(AVERAGE(H236,I236,J236,L236),1))</f>
        <v/>
      </c>
      <c r="Y236">
        <f>IF(X236="","",IF(X236&lt;26,"normal",IF(X236&lt;41,"mild",IF(X236&lt;61,"moderate",IF(X236&lt;81,"severe","profound")))))</f>
        <v/>
      </c>
      <c r="Z236">
        <f>IF(X236="","",IF(OR(ABS(X236-25)&lt;=5,ABS(X236-40)&lt;=5,ABS(X236-60)&lt;=5,ABS(X236-80)&lt;=5),1,0))</f>
        <v/>
      </c>
      <c r="AA236">
        <f>IF(MAX(ABS(G236-H236),ABS(H236-I236),ABS(I236-J236),ABS(J236-K236),ABS(K236-L236),ABS(L236-M236),ABS(M236-N236))&gt;40,1,0)</f>
        <v/>
      </c>
    </row>
    <row r="237">
      <c r="X237">
        <f>IF(COUNT(H237,I237,J237,L237)&lt;4,"",ROUND(AVERAGE(H237,I237,J237,L237),1))</f>
        <v/>
      </c>
      <c r="Y237">
        <f>IF(X237="","",IF(X237&lt;26,"normal",IF(X237&lt;41,"mild",IF(X237&lt;61,"moderate",IF(X237&lt;81,"severe","profound")))))</f>
        <v/>
      </c>
      <c r="Z237">
        <f>IF(X237="","",IF(OR(ABS(X237-25)&lt;=5,ABS(X237-40)&lt;=5,ABS(X237-60)&lt;=5,ABS(X237-80)&lt;=5),1,0))</f>
        <v/>
      </c>
      <c r="AA237">
        <f>IF(MAX(ABS(G237-H237),ABS(H237-I237),ABS(I237-J237),ABS(J237-K237),ABS(K237-L237),ABS(L237-M237),ABS(M237-N237))&gt;40,1,0)</f>
        <v/>
      </c>
    </row>
    <row r="238">
      <c r="X238">
        <f>IF(COUNT(H238,I238,J238,L238)&lt;4,"",ROUND(AVERAGE(H238,I238,J238,L238),1))</f>
        <v/>
      </c>
      <c r="Y238">
        <f>IF(X238="","",IF(X238&lt;26,"normal",IF(X238&lt;41,"mild",IF(X238&lt;61,"moderate",IF(X238&lt;81,"severe","profound")))))</f>
        <v/>
      </c>
      <c r="Z238">
        <f>IF(X238="","",IF(OR(ABS(X238-25)&lt;=5,ABS(X238-40)&lt;=5,ABS(X238-60)&lt;=5,ABS(X238-80)&lt;=5),1,0))</f>
        <v/>
      </c>
      <c r="AA238">
        <f>IF(MAX(ABS(G238-H238),ABS(H238-I238),ABS(I238-J238),ABS(J238-K238),ABS(K238-L238),ABS(L238-M238),ABS(M238-N238))&gt;40,1,0)</f>
        <v/>
      </c>
    </row>
    <row r="239">
      <c r="X239">
        <f>IF(COUNT(H239,I239,J239,L239)&lt;4,"",ROUND(AVERAGE(H239,I239,J239,L239),1))</f>
        <v/>
      </c>
      <c r="Y239">
        <f>IF(X239="","",IF(X239&lt;26,"normal",IF(X239&lt;41,"mild",IF(X239&lt;61,"moderate",IF(X239&lt;81,"severe","profound")))))</f>
        <v/>
      </c>
      <c r="Z239">
        <f>IF(X239="","",IF(OR(ABS(X239-25)&lt;=5,ABS(X239-40)&lt;=5,ABS(X239-60)&lt;=5,ABS(X239-80)&lt;=5),1,0))</f>
        <v/>
      </c>
      <c r="AA239">
        <f>IF(MAX(ABS(G239-H239),ABS(H239-I239),ABS(I239-J239),ABS(J239-K239),ABS(K239-L239),ABS(L239-M239),ABS(M239-N239))&gt;40,1,0)</f>
        <v/>
      </c>
    </row>
    <row r="240">
      <c r="X240">
        <f>IF(COUNT(H240,I240,J240,L240)&lt;4,"",ROUND(AVERAGE(H240,I240,J240,L240),1))</f>
        <v/>
      </c>
      <c r="Y240">
        <f>IF(X240="","",IF(X240&lt;26,"normal",IF(X240&lt;41,"mild",IF(X240&lt;61,"moderate",IF(X240&lt;81,"severe","profound")))))</f>
        <v/>
      </c>
      <c r="Z240">
        <f>IF(X240="","",IF(OR(ABS(X240-25)&lt;=5,ABS(X240-40)&lt;=5,ABS(X240-60)&lt;=5,ABS(X240-80)&lt;=5),1,0))</f>
        <v/>
      </c>
      <c r="AA240">
        <f>IF(MAX(ABS(G240-H240),ABS(H240-I240),ABS(I240-J240),ABS(J240-K240),ABS(K240-L240),ABS(L240-M240),ABS(M240-N240))&gt;40,1,0)</f>
        <v/>
      </c>
    </row>
    <row r="241">
      <c r="X241">
        <f>IF(COUNT(H241,I241,J241,L241)&lt;4,"",ROUND(AVERAGE(H241,I241,J241,L241),1))</f>
        <v/>
      </c>
      <c r="Y241">
        <f>IF(X241="","",IF(X241&lt;26,"normal",IF(X241&lt;41,"mild",IF(X241&lt;61,"moderate",IF(X241&lt;81,"severe","profound")))))</f>
        <v/>
      </c>
      <c r="Z241">
        <f>IF(X241="","",IF(OR(ABS(X241-25)&lt;=5,ABS(X241-40)&lt;=5,ABS(X241-60)&lt;=5,ABS(X241-80)&lt;=5),1,0))</f>
        <v/>
      </c>
      <c r="AA241">
        <f>IF(MAX(ABS(G241-H241),ABS(H241-I241),ABS(I241-J241),ABS(J241-K241),ABS(K241-L241),ABS(L241-M241),ABS(M241-N241))&gt;40,1,0)</f>
        <v/>
      </c>
    </row>
    <row r="242">
      <c r="X242">
        <f>IF(COUNT(H242,I242,J242,L242)&lt;4,"",ROUND(AVERAGE(H242,I242,J242,L242),1))</f>
        <v/>
      </c>
      <c r="Y242">
        <f>IF(X242="","",IF(X242&lt;26,"normal",IF(X242&lt;41,"mild",IF(X242&lt;61,"moderate",IF(X242&lt;81,"severe","profound")))))</f>
        <v/>
      </c>
      <c r="Z242">
        <f>IF(X242="","",IF(OR(ABS(X242-25)&lt;=5,ABS(X242-40)&lt;=5,ABS(X242-60)&lt;=5,ABS(X242-80)&lt;=5),1,0))</f>
        <v/>
      </c>
      <c r="AA242">
        <f>IF(MAX(ABS(G242-H242),ABS(H242-I242),ABS(I242-J242),ABS(J242-K242),ABS(K242-L242),ABS(L242-M242),ABS(M242-N242))&gt;40,1,0)</f>
        <v/>
      </c>
    </row>
    <row r="243">
      <c r="X243">
        <f>IF(COUNT(H243,I243,J243,L243)&lt;4,"",ROUND(AVERAGE(H243,I243,J243,L243),1))</f>
        <v/>
      </c>
      <c r="Y243">
        <f>IF(X243="","",IF(X243&lt;26,"normal",IF(X243&lt;41,"mild",IF(X243&lt;61,"moderate",IF(X243&lt;81,"severe","profound")))))</f>
        <v/>
      </c>
      <c r="Z243">
        <f>IF(X243="","",IF(OR(ABS(X243-25)&lt;=5,ABS(X243-40)&lt;=5,ABS(X243-60)&lt;=5,ABS(X243-80)&lt;=5),1,0))</f>
        <v/>
      </c>
      <c r="AA243">
        <f>IF(MAX(ABS(G243-H243),ABS(H243-I243),ABS(I243-J243),ABS(J243-K243),ABS(K243-L243),ABS(L243-M243),ABS(M243-N243))&gt;40,1,0)</f>
        <v/>
      </c>
    </row>
    <row r="244">
      <c r="X244">
        <f>IF(COUNT(H244,I244,J244,L244)&lt;4,"",ROUND(AVERAGE(H244,I244,J244,L244),1))</f>
        <v/>
      </c>
      <c r="Y244">
        <f>IF(X244="","",IF(X244&lt;26,"normal",IF(X244&lt;41,"mild",IF(X244&lt;61,"moderate",IF(X244&lt;81,"severe","profound")))))</f>
        <v/>
      </c>
      <c r="Z244">
        <f>IF(X244="","",IF(OR(ABS(X244-25)&lt;=5,ABS(X244-40)&lt;=5,ABS(X244-60)&lt;=5,ABS(X244-80)&lt;=5),1,0))</f>
        <v/>
      </c>
      <c r="AA244">
        <f>IF(MAX(ABS(G244-H244),ABS(H244-I244),ABS(I244-J244),ABS(J244-K244),ABS(K244-L244),ABS(L244-M244),ABS(M244-N244))&gt;40,1,0)</f>
        <v/>
      </c>
    </row>
    <row r="245">
      <c r="X245">
        <f>IF(COUNT(H245,I245,J245,L245)&lt;4,"",ROUND(AVERAGE(H245,I245,J245,L245),1))</f>
        <v/>
      </c>
      <c r="Y245">
        <f>IF(X245="","",IF(X245&lt;26,"normal",IF(X245&lt;41,"mild",IF(X245&lt;61,"moderate",IF(X245&lt;81,"severe","profound")))))</f>
        <v/>
      </c>
      <c r="Z245">
        <f>IF(X245="","",IF(OR(ABS(X245-25)&lt;=5,ABS(X245-40)&lt;=5,ABS(X245-60)&lt;=5,ABS(X245-80)&lt;=5),1,0))</f>
        <v/>
      </c>
      <c r="AA245">
        <f>IF(MAX(ABS(G245-H245),ABS(H245-I245),ABS(I245-J245),ABS(J245-K245),ABS(K245-L245),ABS(L245-M245),ABS(M245-N245))&gt;40,1,0)</f>
        <v/>
      </c>
    </row>
    <row r="246">
      <c r="X246">
        <f>IF(COUNT(H246,I246,J246,L246)&lt;4,"",ROUND(AVERAGE(H246,I246,J246,L246),1))</f>
        <v/>
      </c>
      <c r="Y246">
        <f>IF(X246="","",IF(X246&lt;26,"normal",IF(X246&lt;41,"mild",IF(X246&lt;61,"moderate",IF(X246&lt;81,"severe","profound")))))</f>
        <v/>
      </c>
      <c r="Z246">
        <f>IF(X246="","",IF(OR(ABS(X246-25)&lt;=5,ABS(X246-40)&lt;=5,ABS(X246-60)&lt;=5,ABS(X246-80)&lt;=5),1,0))</f>
        <v/>
      </c>
      <c r="AA246">
        <f>IF(MAX(ABS(G246-H246),ABS(H246-I246),ABS(I246-J246),ABS(J246-K246),ABS(K246-L246),ABS(L246-M246),ABS(M246-N246))&gt;40,1,0)</f>
        <v/>
      </c>
    </row>
    <row r="247">
      <c r="X247">
        <f>IF(COUNT(H247,I247,J247,L247)&lt;4,"",ROUND(AVERAGE(H247,I247,J247,L247),1))</f>
        <v/>
      </c>
      <c r="Y247">
        <f>IF(X247="","",IF(X247&lt;26,"normal",IF(X247&lt;41,"mild",IF(X247&lt;61,"moderate",IF(X247&lt;81,"severe","profound")))))</f>
        <v/>
      </c>
      <c r="Z247">
        <f>IF(X247="","",IF(OR(ABS(X247-25)&lt;=5,ABS(X247-40)&lt;=5,ABS(X247-60)&lt;=5,ABS(X247-80)&lt;=5),1,0))</f>
        <v/>
      </c>
      <c r="AA247">
        <f>IF(MAX(ABS(G247-H247),ABS(H247-I247),ABS(I247-J247),ABS(J247-K247),ABS(K247-L247),ABS(L247-M247),ABS(M247-N247))&gt;40,1,0)</f>
        <v/>
      </c>
    </row>
    <row r="248">
      <c r="X248">
        <f>IF(COUNT(H248,I248,J248,L248)&lt;4,"",ROUND(AVERAGE(H248,I248,J248,L248),1))</f>
        <v/>
      </c>
      <c r="Y248">
        <f>IF(X248="","",IF(X248&lt;26,"normal",IF(X248&lt;41,"mild",IF(X248&lt;61,"moderate",IF(X248&lt;81,"severe","profound")))))</f>
        <v/>
      </c>
      <c r="Z248">
        <f>IF(X248="","",IF(OR(ABS(X248-25)&lt;=5,ABS(X248-40)&lt;=5,ABS(X248-60)&lt;=5,ABS(X248-80)&lt;=5),1,0))</f>
        <v/>
      </c>
      <c r="AA248">
        <f>IF(MAX(ABS(G248-H248),ABS(H248-I248),ABS(I248-J248),ABS(J248-K248),ABS(K248-L248),ABS(L248-M248),ABS(M248-N248))&gt;40,1,0)</f>
        <v/>
      </c>
    </row>
    <row r="249">
      <c r="X249">
        <f>IF(COUNT(H249,I249,J249,L249)&lt;4,"",ROUND(AVERAGE(H249,I249,J249,L249),1))</f>
        <v/>
      </c>
      <c r="Y249">
        <f>IF(X249="","",IF(X249&lt;26,"normal",IF(X249&lt;41,"mild",IF(X249&lt;61,"moderate",IF(X249&lt;81,"severe","profound")))))</f>
        <v/>
      </c>
      <c r="Z249">
        <f>IF(X249="","",IF(OR(ABS(X249-25)&lt;=5,ABS(X249-40)&lt;=5,ABS(X249-60)&lt;=5,ABS(X249-80)&lt;=5),1,0))</f>
        <v/>
      </c>
      <c r="AA249">
        <f>IF(MAX(ABS(G249-H249),ABS(H249-I249),ABS(I249-J249),ABS(J249-K249),ABS(K249-L249),ABS(L249-M249),ABS(M249-N249))&gt;40,1,0)</f>
        <v/>
      </c>
    </row>
    <row r="250">
      <c r="X250">
        <f>IF(COUNT(H250,I250,J250,L250)&lt;4,"",ROUND(AVERAGE(H250,I250,J250,L250),1))</f>
        <v/>
      </c>
      <c r="Y250">
        <f>IF(X250="","",IF(X250&lt;26,"normal",IF(X250&lt;41,"mild",IF(X250&lt;61,"moderate",IF(X250&lt;81,"severe","profound")))))</f>
        <v/>
      </c>
      <c r="Z250">
        <f>IF(X250="","",IF(OR(ABS(X250-25)&lt;=5,ABS(X250-40)&lt;=5,ABS(X250-60)&lt;=5,ABS(X250-80)&lt;=5),1,0))</f>
        <v/>
      </c>
      <c r="AA250">
        <f>IF(MAX(ABS(G250-H250),ABS(H250-I250),ABS(I250-J250),ABS(J250-K250),ABS(K250-L250),ABS(L250-M250),ABS(M250-N250))&gt;40,1,0)</f>
        <v/>
      </c>
    </row>
    <row r="251">
      <c r="X251">
        <f>IF(COUNT(H251,I251,J251,L251)&lt;4,"",ROUND(AVERAGE(H251,I251,J251,L251),1))</f>
        <v/>
      </c>
      <c r="Y251">
        <f>IF(X251="","",IF(X251&lt;26,"normal",IF(X251&lt;41,"mild",IF(X251&lt;61,"moderate",IF(X251&lt;81,"severe","profound")))))</f>
        <v/>
      </c>
      <c r="Z251">
        <f>IF(X251="","",IF(OR(ABS(X251-25)&lt;=5,ABS(X251-40)&lt;=5,ABS(X251-60)&lt;=5,ABS(X251-80)&lt;=5),1,0))</f>
        <v/>
      </c>
      <c r="AA251">
        <f>IF(MAX(ABS(G251-H251),ABS(H251-I251),ABS(I251-J251),ABS(J251-K251),ABS(K251-L251),ABS(L251-M251),ABS(M251-N251))&gt;40,1,0)</f>
        <v/>
      </c>
    </row>
    <row r="252">
      <c r="X252">
        <f>IF(COUNT(H252,I252,J252,L252)&lt;4,"",ROUND(AVERAGE(H252,I252,J252,L252),1))</f>
        <v/>
      </c>
      <c r="Y252">
        <f>IF(X252="","",IF(X252&lt;26,"normal",IF(X252&lt;41,"mild",IF(X252&lt;61,"moderate",IF(X252&lt;81,"severe","profound")))))</f>
        <v/>
      </c>
      <c r="Z252">
        <f>IF(X252="","",IF(OR(ABS(X252-25)&lt;=5,ABS(X252-40)&lt;=5,ABS(X252-60)&lt;=5,ABS(X252-80)&lt;=5),1,0))</f>
        <v/>
      </c>
      <c r="AA252">
        <f>IF(MAX(ABS(G252-H252),ABS(H252-I252),ABS(I252-J252),ABS(J252-K252),ABS(K252-L252),ABS(L252-M252),ABS(M252-N252))&gt;40,1,0)</f>
        <v/>
      </c>
    </row>
    <row r="253">
      <c r="X253">
        <f>IF(COUNT(H253,I253,J253,L253)&lt;4,"",ROUND(AVERAGE(H253,I253,J253,L253),1))</f>
        <v/>
      </c>
      <c r="Y253">
        <f>IF(X253="","",IF(X253&lt;26,"normal",IF(X253&lt;41,"mild",IF(X253&lt;61,"moderate",IF(X253&lt;81,"severe","profound")))))</f>
        <v/>
      </c>
      <c r="Z253">
        <f>IF(X253="","",IF(OR(ABS(X253-25)&lt;=5,ABS(X253-40)&lt;=5,ABS(X253-60)&lt;=5,ABS(X253-80)&lt;=5),1,0))</f>
        <v/>
      </c>
      <c r="AA253">
        <f>IF(MAX(ABS(G253-H253),ABS(H253-I253),ABS(I253-J253),ABS(J253-K253),ABS(K253-L253),ABS(L253-M253),ABS(M253-N253))&gt;40,1,0)</f>
        <v/>
      </c>
    </row>
    <row r="254">
      <c r="X254">
        <f>IF(COUNT(H254,I254,J254,L254)&lt;4,"",ROUND(AVERAGE(H254,I254,J254,L254),1))</f>
        <v/>
      </c>
      <c r="Y254">
        <f>IF(X254="","",IF(X254&lt;26,"normal",IF(X254&lt;41,"mild",IF(X254&lt;61,"moderate",IF(X254&lt;81,"severe","profound")))))</f>
        <v/>
      </c>
      <c r="Z254">
        <f>IF(X254="","",IF(OR(ABS(X254-25)&lt;=5,ABS(X254-40)&lt;=5,ABS(X254-60)&lt;=5,ABS(X254-80)&lt;=5),1,0))</f>
        <v/>
      </c>
      <c r="AA254">
        <f>IF(MAX(ABS(G254-H254),ABS(H254-I254),ABS(I254-J254),ABS(J254-K254),ABS(K254-L254),ABS(L254-M254),ABS(M254-N254))&gt;40,1,0)</f>
        <v/>
      </c>
    </row>
    <row r="255">
      <c r="X255">
        <f>IF(COUNT(H255,I255,J255,L255)&lt;4,"",ROUND(AVERAGE(H255,I255,J255,L255),1))</f>
        <v/>
      </c>
      <c r="Y255">
        <f>IF(X255="","",IF(X255&lt;26,"normal",IF(X255&lt;41,"mild",IF(X255&lt;61,"moderate",IF(X255&lt;81,"severe","profound")))))</f>
        <v/>
      </c>
      <c r="Z255">
        <f>IF(X255="","",IF(OR(ABS(X255-25)&lt;=5,ABS(X255-40)&lt;=5,ABS(X255-60)&lt;=5,ABS(X255-80)&lt;=5),1,0))</f>
        <v/>
      </c>
      <c r="AA255">
        <f>IF(MAX(ABS(G255-H255),ABS(H255-I255),ABS(I255-J255),ABS(J255-K255),ABS(K255-L255),ABS(L255-M255),ABS(M255-N255))&gt;40,1,0)</f>
        <v/>
      </c>
    </row>
    <row r="256">
      <c r="X256">
        <f>IF(COUNT(H256,I256,J256,L256)&lt;4,"",ROUND(AVERAGE(H256,I256,J256,L256),1))</f>
        <v/>
      </c>
      <c r="Y256">
        <f>IF(X256="","",IF(X256&lt;26,"normal",IF(X256&lt;41,"mild",IF(X256&lt;61,"moderate",IF(X256&lt;81,"severe","profound")))))</f>
        <v/>
      </c>
      <c r="Z256">
        <f>IF(X256="","",IF(OR(ABS(X256-25)&lt;=5,ABS(X256-40)&lt;=5,ABS(X256-60)&lt;=5,ABS(X256-80)&lt;=5),1,0))</f>
        <v/>
      </c>
      <c r="AA256">
        <f>IF(MAX(ABS(G256-H256),ABS(H256-I256),ABS(I256-J256),ABS(J256-K256),ABS(K256-L256),ABS(L256-M256),ABS(M256-N256))&gt;40,1,0)</f>
        <v/>
      </c>
    </row>
    <row r="257">
      <c r="X257">
        <f>IF(COUNT(H257,I257,J257,L257)&lt;4,"",ROUND(AVERAGE(H257,I257,J257,L257),1))</f>
        <v/>
      </c>
      <c r="Y257">
        <f>IF(X257="","",IF(X257&lt;26,"normal",IF(X257&lt;41,"mild",IF(X257&lt;61,"moderate",IF(X257&lt;81,"severe","profound")))))</f>
        <v/>
      </c>
      <c r="Z257">
        <f>IF(X257="","",IF(OR(ABS(X257-25)&lt;=5,ABS(X257-40)&lt;=5,ABS(X257-60)&lt;=5,ABS(X257-80)&lt;=5),1,0))</f>
        <v/>
      </c>
      <c r="AA257">
        <f>IF(MAX(ABS(G257-H257),ABS(H257-I257),ABS(I257-J257),ABS(J257-K257),ABS(K257-L257),ABS(L257-M257),ABS(M257-N257))&gt;40,1,0)</f>
        <v/>
      </c>
    </row>
    <row r="258">
      <c r="X258">
        <f>IF(COUNT(H258,I258,J258,L258)&lt;4,"",ROUND(AVERAGE(H258,I258,J258,L258),1))</f>
        <v/>
      </c>
      <c r="Y258">
        <f>IF(X258="","",IF(X258&lt;26,"normal",IF(X258&lt;41,"mild",IF(X258&lt;61,"moderate",IF(X258&lt;81,"severe","profound")))))</f>
        <v/>
      </c>
      <c r="Z258">
        <f>IF(X258="","",IF(OR(ABS(X258-25)&lt;=5,ABS(X258-40)&lt;=5,ABS(X258-60)&lt;=5,ABS(X258-80)&lt;=5),1,0))</f>
        <v/>
      </c>
      <c r="AA258">
        <f>IF(MAX(ABS(G258-H258),ABS(H258-I258),ABS(I258-J258),ABS(J258-K258),ABS(K258-L258),ABS(L258-M258),ABS(M258-N258))&gt;40,1,0)</f>
        <v/>
      </c>
    </row>
    <row r="259">
      <c r="X259">
        <f>IF(COUNT(H259,I259,J259,L259)&lt;4,"",ROUND(AVERAGE(H259,I259,J259,L259),1))</f>
        <v/>
      </c>
      <c r="Y259">
        <f>IF(X259="","",IF(X259&lt;26,"normal",IF(X259&lt;41,"mild",IF(X259&lt;61,"moderate",IF(X259&lt;81,"severe","profound")))))</f>
        <v/>
      </c>
      <c r="Z259">
        <f>IF(X259="","",IF(OR(ABS(X259-25)&lt;=5,ABS(X259-40)&lt;=5,ABS(X259-60)&lt;=5,ABS(X259-80)&lt;=5),1,0))</f>
        <v/>
      </c>
      <c r="AA259">
        <f>IF(MAX(ABS(G259-H259),ABS(H259-I259),ABS(I259-J259),ABS(J259-K259),ABS(K259-L259),ABS(L259-M259),ABS(M259-N259))&gt;40,1,0)</f>
        <v/>
      </c>
    </row>
    <row r="260">
      <c r="X260">
        <f>IF(COUNT(H260,I260,J260,L260)&lt;4,"",ROUND(AVERAGE(H260,I260,J260,L260),1))</f>
        <v/>
      </c>
      <c r="Y260">
        <f>IF(X260="","",IF(X260&lt;26,"normal",IF(X260&lt;41,"mild",IF(X260&lt;61,"moderate",IF(X260&lt;81,"severe","profound")))))</f>
        <v/>
      </c>
      <c r="Z260">
        <f>IF(X260="","",IF(OR(ABS(X260-25)&lt;=5,ABS(X260-40)&lt;=5,ABS(X260-60)&lt;=5,ABS(X260-80)&lt;=5),1,0))</f>
        <v/>
      </c>
      <c r="AA260">
        <f>IF(MAX(ABS(G260-H260),ABS(H260-I260),ABS(I260-J260),ABS(J260-K260),ABS(K260-L260),ABS(L260-M260),ABS(M260-N260))&gt;40,1,0)</f>
        <v/>
      </c>
    </row>
    <row r="261">
      <c r="X261">
        <f>IF(COUNT(H261,I261,J261,L261)&lt;4,"",ROUND(AVERAGE(H261,I261,J261,L261),1))</f>
        <v/>
      </c>
      <c r="Y261">
        <f>IF(X261="","",IF(X261&lt;26,"normal",IF(X261&lt;41,"mild",IF(X261&lt;61,"moderate",IF(X261&lt;81,"severe","profound")))))</f>
        <v/>
      </c>
      <c r="Z261">
        <f>IF(X261="","",IF(OR(ABS(X261-25)&lt;=5,ABS(X261-40)&lt;=5,ABS(X261-60)&lt;=5,ABS(X261-80)&lt;=5),1,0))</f>
        <v/>
      </c>
      <c r="AA261">
        <f>IF(MAX(ABS(G261-H261),ABS(H261-I261),ABS(I261-J261),ABS(J261-K261),ABS(K261-L261),ABS(L261-M261),ABS(M261-N261))&gt;40,1,0)</f>
        <v/>
      </c>
    </row>
    <row r="262">
      <c r="X262">
        <f>IF(COUNT(H262,I262,J262,L262)&lt;4,"",ROUND(AVERAGE(H262,I262,J262,L262),1))</f>
        <v/>
      </c>
      <c r="Y262">
        <f>IF(X262="","",IF(X262&lt;26,"normal",IF(X262&lt;41,"mild",IF(X262&lt;61,"moderate",IF(X262&lt;81,"severe","profound")))))</f>
        <v/>
      </c>
      <c r="Z262">
        <f>IF(X262="","",IF(OR(ABS(X262-25)&lt;=5,ABS(X262-40)&lt;=5,ABS(X262-60)&lt;=5,ABS(X262-80)&lt;=5),1,0))</f>
        <v/>
      </c>
      <c r="AA262">
        <f>IF(MAX(ABS(G262-H262),ABS(H262-I262),ABS(I262-J262),ABS(J262-K262),ABS(K262-L262),ABS(L262-M262),ABS(M262-N262))&gt;40,1,0)</f>
        <v/>
      </c>
    </row>
    <row r="263">
      <c r="X263">
        <f>IF(COUNT(H263,I263,J263,L263)&lt;4,"",ROUND(AVERAGE(H263,I263,J263,L263),1))</f>
        <v/>
      </c>
      <c r="Y263">
        <f>IF(X263="","",IF(X263&lt;26,"normal",IF(X263&lt;41,"mild",IF(X263&lt;61,"moderate",IF(X263&lt;81,"severe","profound")))))</f>
        <v/>
      </c>
      <c r="Z263">
        <f>IF(X263="","",IF(OR(ABS(X263-25)&lt;=5,ABS(X263-40)&lt;=5,ABS(X263-60)&lt;=5,ABS(X263-80)&lt;=5),1,0))</f>
        <v/>
      </c>
      <c r="AA263">
        <f>IF(MAX(ABS(G263-H263),ABS(H263-I263),ABS(I263-J263),ABS(J263-K263),ABS(K263-L263),ABS(L263-M263),ABS(M263-N263))&gt;40,1,0)</f>
        <v/>
      </c>
    </row>
    <row r="264">
      <c r="X264">
        <f>IF(COUNT(H264,I264,J264,L264)&lt;4,"",ROUND(AVERAGE(H264,I264,J264,L264),1))</f>
        <v/>
      </c>
      <c r="Y264">
        <f>IF(X264="","",IF(X264&lt;26,"normal",IF(X264&lt;41,"mild",IF(X264&lt;61,"moderate",IF(X264&lt;81,"severe","profound")))))</f>
        <v/>
      </c>
      <c r="Z264">
        <f>IF(X264="","",IF(OR(ABS(X264-25)&lt;=5,ABS(X264-40)&lt;=5,ABS(X264-60)&lt;=5,ABS(X264-80)&lt;=5),1,0))</f>
        <v/>
      </c>
      <c r="AA264">
        <f>IF(MAX(ABS(G264-H264),ABS(H264-I264),ABS(I264-J264),ABS(J264-K264),ABS(K264-L264),ABS(L264-M264),ABS(M264-N264))&gt;40,1,0)</f>
        <v/>
      </c>
    </row>
    <row r="265">
      <c r="X265">
        <f>IF(COUNT(H265,I265,J265,L265)&lt;4,"",ROUND(AVERAGE(H265,I265,J265,L265),1))</f>
        <v/>
      </c>
      <c r="Y265">
        <f>IF(X265="","",IF(X265&lt;26,"normal",IF(X265&lt;41,"mild",IF(X265&lt;61,"moderate",IF(X265&lt;81,"severe","profound")))))</f>
        <v/>
      </c>
      <c r="Z265">
        <f>IF(X265="","",IF(OR(ABS(X265-25)&lt;=5,ABS(X265-40)&lt;=5,ABS(X265-60)&lt;=5,ABS(X265-80)&lt;=5),1,0))</f>
        <v/>
      </c>
      <c r="AA265">
        <f>IF(MAX(ABS(G265-H265),ABS(H265-I265),ABS(I265-J265),ABS(J265-K265),ABS(K265-L265),ABS(L265-M265),ABS(M265-N265))&gt;40,1,0)</f>
        <v/>
      </c>
    </row>
    <row r="266">
      <c r="X266">
        <f>IF(COUNT(H266,I266,J266,L266)&lt;4,"",ROUND(AVERAGE(H266,I266,J266,L266),1))</f>
        <v/>
      </c>
      <c r="Y266">
        <f>IF(X266="","",IF(X266&lt;26,"normal",IF(X266&lt;41,"mild",IF(X266&lt;61,"moderate",IF(X266&lt;81,"severe","profound")))))</f>
        <v/>
      </c>
      <c r="Z266">
        <f>IF(X266="","",IF(OR(ABS(X266-25)&lt;=5,ABS(X266-40)&lt;=5,ABS(X266-60)&lt;=5,ABS(X266-80)&lt;=5),1,0))</f>
        <v/>
      </c>
      <c r="AA266">
        <f>IF(MAX(ABS(G266-H266),ABS(H266-I266),ABS(I266-J266),ABS(J266-K266),ABS(K266-L266),ABS(L266-M266),ABS(M266-N266))&gt;40,1,0)</f>
        <v/>
      </c>
    </row>
    <row r="267">
      <c r="X267">
        <f>IF(COUNT(H267,I267,J267,L267)&lt;4,"",ROUND(AVERAGE(H267,I267,J267,L267),1))</f>
        <v/>
      </c>
      <c r="Y267">
        <f>IF(X267="","",IF(X267&lt;26,"normal",IF(X267&lt;41,"mild",IF(X267&lt;61,"moderate",IF(X267&lt;81,"severe","profound")))))</f>
        <v/>
      </c>
      <c r="Z267">
        <f>IF(X267="","",IF(OR(ABS(X267-25)&lt;=5,ABS(X267-40)&lt;=5,ABS(X267-60)&lt;=5,ABS(X267-80)&lt;=5),1,0))</f>
        <v/>
      </c>
      <c r="AA267">
        <f>IF(MAX(ABS(G267-H267),ABS(H267-I267),ABS(I267-J267),ABS(J267-K267),ABS(K267-L267),ABS(L267-M267),ABS(M267-N267))&gt;40,1,0)</f>
        <v/>
      </c>
    </row>
    <row r="268">
      <c r="X268">
        <f>IF(COUNT(H268,I268,J268,L268)&lt;4,"",ROUND(AVERAGE(H268,I268,J268,L268),1))</f>
        <v/>
      </c>
      <c r="Y268">
        <f>IF(X268="","",IF(X268&lt;26,"normal",IF(X268&lt;41,"mild",IF(X268&lt;61,"moderate",IF(X268&lt;81,"severe","profound")))))</f>
        <v/>
      </c>
      <c r="Z268">
        <f>IF(X268="","",IF(OR(ABS(X268-25)&lt;=5,ABS(X268-40)&lt;=5,ABS(X268-60)&lt;=5,ABS(X268-80)&lt;=5),1,0))</f>
        <v/>
      </c>
      <c r="AA268">
        <f>IF(MAX(ABS(G268-H268),ABS(H268-I268),ABS(I268-J268),ABS(J268-K268),ABS(K268-L268),ABS(L268-M268),ABS(M268-N268))&gt;40,1,0)</f>
        <v/>
      </c>
    </row>
    <row r="269">
      <c r="X269">
        <f>IF(COUNT(H269,I269,J269,L269)&lt;4,"",ROUND(AVERAGE(H269,I269,J269,L269),1))</f>
        <v/>
      </c>
      <c r="Y269">
        <f>IF(X269="","",IF(X269&lt;26,"normal",IF(X269&lt;41,"mild",IF(X269&lt;61,"moderate",IF(X269&lt;81,"severe","profound")))))</f>
        <v/>
      </c>
      <c r="Z269">
        <f>IF(X269="","",IF(OR(ABS(X269-25)&lt;=5,ABS(X269-40)&lt;=5,ABS(X269-60)&lt;=5,ABS(X269-80)&lt;=5),1,0))</f>
        <v/>
      </c>
      <c r="AA269">
        <f>IF(MAX(ABS(G269-H269),ABS(H269-I269),ABS(I269-J269),ABS(J269-K269),ABS(K269-L269),ABS(L269-M269),ABS(M269-N269))&gt;40,1,0)</f>
        <v/>
      </c>
    </row>
    <row r="270">
      <c r="X270">
        <f>IF(COUNT(H270,I270,J270,L270)&lt;4,"",ROUND(AVERAGE(H270,I270,J270,L270),1))</f>
        <v/>
      </c>
      <c r="Y270">
        <f>IF(X270="","",IF(X270&lt;26,"normal",IF(X270&lt;41,"mild",IF(X270&lt;61,"moderate",IF(X270&lt;81,"severe","profound")))))</f>
        <v/>
      </c>
      <c r="Z270">
        <f>IF(X270="","",IF(OR(ABS(X270-25)&lt;=5,ABS(X270-40)&lt;=5,ABS(X270-60)&lt;=5,ABS(X270-80)&lt;=5),1,0))</f>
        <v/>
      </c>
      <c r="AA270">
        <f>IF(MAX(ABS(G270-H270),ABS(H270-I270),ABS(I270-J270),ABS(J270-K270),ABS(K270-L270),ABS(L270-M270),ABS(M270-N270))&gt;40,1,0)</f>
        <v/>
      </c>
    </row>
    <row r="271">
      <c r="X271">
        <f>IF(COUNT(H271,I271,J271,L271)&lt;4,"",ROUND(AVERAGE(H271,I271,J271,L271),1))</f>
        <v/>
      </c>
      <c r="Y271">
        <f>IF(X271="","",IF(X271&lt;26,"normal",IF(X271&lt;41,"mild",IF(X271&lt;61,"moderate",IF(X271&lt;81,"severe","profound")))))</f>
        <v/>
      </c>
      <c r="Z271">
        <f>IF(X271="","",IF(OR(ABS(X271-25)&lt;=5,ABS(X271-40)&lt;=5,ABS(X271-60)&lt;=5,ABS(X271-80)&lt;=5),1,0))</f>
        <v/>
      </c>
      <c r="AA271">
        <f>IF(MAX(ABS(G271-H271),ABS(H271-I271),ABS(I271-J271),ABS(J271-K271),ABS(K271-L271),ABS(L271-M271),ABS(M271-N271))&gt;40,1,0)</f>
        <v/>
      </c>
    </row>
    <row r="272">
      <c r="X272">
        <f>IF(COUNT(H272,I272,J272,L272)&lt;4,"",ROUND(AVERAGE(H272,I272,J272,L272),1))</f>
        <v/>
      </c>
      <c r="Y272">
        <f>IF(X272="","",IF(X272&lt;26,"normal",IF(X272&lt;41,"mild",IF(X272&lt;61,"moderate",IF(X272&lt;81,"severe","profound")))))</f>
        <v/>
      </c>
      <c r="Z272">
        <f>IF(X272="","",IF(OR(ABS(X272-25)&lt;=5,ABS(X272-40)&lt;=5,ABS(X272-60)&lt;=5,ABS(X272-80)&lt;=5),1,0))</f>
        <v/>
      </c>
      <c r="AA272">
        <f>IF(MAX(ABS(G272-H272),ABS(H272-I272),ABS(I272-J272),ABS(J272-K272),ABS(K272-L272),ABS(L272-M272),ABS(M272-N272))&gt;40,1,0)</f>
        <v/>
      </c>
    </row>
    <row r="273">
      <c r="X273">
        <f>IF(COUNT(H273,I273,J273,L273)&lt;4,"",ROUND(AVERAGE(H273,I273,J273,L273),1))</f>
        <v/>
      </c>
      <c r="Y273">
        <f>IF(X273="","",IF(X273&lt;26,"normal",IF(X273&lt;41,"mild",IF(X273&lt;61,"moderate",IF(X273&lt;81,"severe","profound")))))</f>
        <v/>
      </c>
      <c r="Z273">
        <f>IF(X273="","",IF(OR(ABS(X273-25)&lt;=5,ABS(X273-40)&lt;=5,ABS(X273-60)&lt;=5,ABS(X273-80)&lt;=5),1,0))</f>
        <v/>
      </c>
      <c r="AA273">
        <f>IF(MAX(ABS(G273-H273),ABS(H273-I273),ABS(I273-J273),ABS(J273-K273),ABS(K273-L273),ABS(L273-M273),ABS(M273-N273))&gt;40,1,0)</f>
        <v/>
      </c>
    </row>
    <row r="274">
      <c r="X274">
        <f>IF(COUNT(H274,I274,J274,L274)&lt;4,"",ROUND(AVERAGE(H274,I274,J274,L274),1))</f>
        <v/>
      </c>
      <c r="Y274">
        <f>IF(X274="","",IF(X274&lt;26,"normal",IF(X274&lt;41,"mild",IF(X274&lt;61,"moderate",IF(X274&lt;81,"severe","profound")))))</f>
        <v/>
      </c>
      <c r="Z274">
        <f>IF(X274="","",IF(OR(ABS(X274-25)&lt;=5,ABS(X274-40)&lt;=5,ABS(X274-60)&lt;=5,ABS(X274-80)&lt;=5),1,0))</f>
        <v/>
      </c>
      <c r="AA274">
        <f>IF(MAX(ABS(G274-H274),ABS(H274-I274),ABS(I274-J274),ABS(J274-K274),ABS(K274-L274),ABS(L274-M274),ABS(M274-N274))&gt;40,1,0)</f>
        <v/>
      </c>
    </row>
    <row r="275">
      <c r="X275">
        <f>IF(COUNT(H275,I275,J275,L275)&lt;4,"",ROUND(AVERAGE(H275,I275,J275,L275),1))</f>
        <v/>
      </c>
      <c r="Y275">
        <f>IF(X275="","",IF(X275&lt;26,"normal",IF(X275&lt;41,"mild",IF(X275&lt;61,"moderate",IF(X275&lt;81,"severe","profound")))))</f>
        <v/>
      </c>
      <c r="Z275">
        <f>IF(X275="","",IF(OR(ABS(X275-25)&lt;=5,ABS(X275-40)&lt;=5,ABS(X275-60)&lt;=5,ABS(X275-80)&lt;=5),1,0))</f>
        <v/>
      </c>
      <c r="AA275">
        <f>IF(MAX(ABS(G275-H275),ABS(H275-I275),ABS(I275-J275),ABS(J275-K275),ABS(K275-L275),ABS(L275-M275),ABS(M275-N275))&gt;40,1,0)</f>
        <v/>
      </c>
    </row>
    <row r="276">
      <c r="X276">
        <f>IF(COUNT(H276,I276,J276,L276)&lt;4,"",ROUND(AVERAGE(H276,I276,J276,L276),1))</f>
        <v/>
      </c>
      <c r="Y276">
        <f>IF(X276="","",IF(X276&lt;26,"normal",IF(X276&lt;41,"mild",IF(X276&lt;61,"moderate",IF(X276&lt;81,"severe","profound")))))</f>
        <v/>
      </c>
      <c r="Z276">
        <f>IF(X276="","",IF(OR(ABS(X276-25)&lt;=5,ABS(X276-40)&lt;=5,ABS(X276-60)&lt;=5,ABS(X276-80)&lt;=5),1,0))</f>
        <v/>
      </c>
      <c r="AA276">
        <f>IF(MAX(ABS(G276-H276),ABS(H276-I276),ABS(I276-J276),ABS(J276-K276),ABS(K276-L276),ABS(L276-M276),ABS(M276-N276))&gt;40,1,0)</f>
        <v/>
      </c>
    </row>
    <row r="277">
      <c r="X277">
        <f>IF(COUNT(H277,I277,J277,L277)&lt;4,"",ROUND(AVERAGE(H277,I277,J277,L277),1))</f>
        <v/>
      </c>
      <c r="Y277">
        <f>IF(X277="","",IF(X277&lt;26,"normal",IF(X277&lt;41,"mild",IF(X277&lt;61,"moderate",IF(X277&lt;81,"severe","profound")))))</f>
        <v/>
      </c>
      <c r="Z277">
        <f>IF(X277="","",IF(OR(ABS(X277-25)&lt;=5,ABS(X277-40)&lt;=5,ABS(X277-60)&lt;=5,ABS(X277-80)&lt;=5),1,0))</f>
        <v/>
      </c>
      <c r="AA277">
        <f>IF(MAX(ABS(G277-H277),ABS(H277-I277),ABS(I277-J277),ABS(J277-K277),ABS(K277-L277),ABS(L277-M277),ABS(M277-N277))&gt;40,1,0)</f>
        <v/>
      </c>
    </row>
    <row r="278">
      <c r="X278">
        <f>IF(COUNT(H278,I278,J278,L278)&lt;4,"",ROUND(AVERAGE(H278,I278,J278,L278),1))</f>
        <v/>
      </c>
      <c r="Y278">
        <f>IF(X278="","",IF(X278&lt;26,"normal",IF(X278&lt;41,"mild",IF(X278&lt;61,"moderate",IF(X278&lt;81,"severe","profound")))))</f>
        <v/>
      </c>
      <c r="Z278">
        <f>IF(X278="","",IF(OR(ABS(X278-25)&lt;=5,ABS(X278-40)&lt;=5,ABS(X278-60)&lt;=5,ABS(X278-80)&lt;=5),1,0))</f>
        <v/>
      </c>
      <c r="AA278">
        <f>IF(MAX(ABS(G278-H278),ABS(H278-I278),ABS(I278-J278),ABS(J278-K278),ABS(K278-L278),ABS(L278-M278),ABS(M278-N278))&gt;40,1,0)</f>
        <v/>
      </c>
    </row>
    <row r="279">
      <c r="X279">
        <f>IF(COUNT(H279,I279,J279,L279)&lt;4,"",ROUND(AVERAGE(H279,I279,J279,L279),1))</f>
        <v/>
      </c>
      <c r="Y279">
        <f>IF(X279="","",IF(X279&lt;26,"normal",IF(X279&lt;41,"mild",IF(X279&lt;61,"moderate",IF(X279&lt;81,"severe","profound")))))</f>
        <v/>
      </c>
      <c r="Z279">
        <f>IF(X279="","",IF(OR(ABS(X279-25)&lt;=5,ABS(X279-40)&lt;=5,ABS(X279-60)&lt;=5,ABS(X279-80)&lt;=5),1,0))</f>
        <v/>
      </c>
      <c r="AA279">
        <f>IF(MAX(ABS(G279-H279),ABS(H279-I279),ABS(I279-J279),ABS(J279-K279),ABS(K279-L279),ABS(L279-M279),ABS(M279-N279))&gt;40,1,0)</f>
        <v/>
      </c>
    </row>
    <row r="280">
      <c r="X280">
        <f>IF(COUNT(H280,I280,J280,L280)&lt;4,"",ROUND(AVERAGE(H280,I280,J280,L280),1))</f>
        <v/>
      </c>
      <c r="Y280">
        <f>IF(X280="","",IF(X280&lt;26,"normal",IF(X280&lt;41,"mild",IF(X280&lt;61,"moderate",IF(X280&lt;81,"severe","profound")))))</f>
        <v/>
      </c>
      <c r="Z280">
        <f>IF(X280="","",IF(OR(ABS(X280-25)&lt;=5,ABS(X280-40)&lt;=5,ABS(X280-60)&lt;=5,ABS(X280-80)&lt;=5),1,0))</f>
        <v/>
      </c>
      <c r="AA280">
        <f>IF(MAX(ABS(G280-H280),ABS(H280-I280),ABS(I280-J280),ABS(J280-K280),ABS(K280-L280),ABS(L280-M280),ABS(M280-N280))&gt;40,1,0)</f>
        <v/>
      </c>
    </row>
    <row r="281">
      <c r="X281">
        <f>IF(COUNT(H281,I281,J281,L281)&lt;4,"",ROUND(AVERAGE(H281,I281,J281,L281),1))</f>
        <v/>
      </c>
      <c r="Y281">
        <f>IF(X281="","",IF(X281&lt;26,"normal",IF(X281&lt;41,"mild",IF(X281&lt;61,"moderate",IF(X281&lt;81,"severe","profound")))))</f>
        <v/>
      </c>
      <c r="Z281">
        <f>IF(X281="","",IF(OR(ABS(X281-25)&lt;=5,ABS(X281-40)&lt;=5,ABS(X281-60)&lt;=5,ABS(X281-80)&lt;=5),1,0))</f>
        <v/>
      </c>
      <c r="AA281">
        <f>IF(MAX(ABS(G281-H281),ABS(H281-I281),ABS(I281-J281),ABS(J281-K281),ABS(K281-L281),ABS(L281-M281),ABS(M281-N281))&gt;40,1,0)</f>
        <v/>
      </c>
    </row>
    <row r="282">
      <c r="X282">
        <f>IF(COUNT(H282,I282,J282,L282)&lt;4,"",ROUND(AVERAGE(H282,I282,J282,L282),1))</f>
        <v/>
      </c>
      <c r="Y282">
        <f>IF(X282="","",IF(X282&lt;26,"normal",IF(X282&lt;41,"mild",IF(X282&lt;61,"moderate",IF(X282&lt;81,"severe","profound")))))</f>
        <v/>
      </c>
      <c r="Z282">
        <f>IF(X282="","",IF(OR(ABS(X282-25)&lt;=5,ABS(X282-40)&lt;=5,ABS(X282-60)&lt;=5,ABS(X282-80)&lt;=5),1,0))</f>
        <v/>
      </c>
      <c r="AA282">
        <f>IF(MAX(ABS(G282-H282),ABS(H282-I282),ABS(I282-J282),ABS(J282-K282),ABS(K282-L282),ABS(L282-M282),ABS(M282-N282))&gt;40,1,0)</f>
        <v/>
      </c>
    </row>
    <row r="283">
      <c r="X283">
        <f>IF(COUNT(H283,I283,J283,L283)&lt;4,"",ROUND(AVERAGE(H283,I283,J283,L283),1))</f>
        <v/>
      </c>
      <c r="Y283">
        <f>IF(X283="","",IF(X283&lt;26,"normal",IF(X283&lt;41,"mild",IF(X283&lt;61,"moderate",IF(X283&lt;81,"severe","profound")))))</f>
        <v/>
      </c>
      <c r="Z283">
        <f>IF(X283="","",IF(OR(ABS(X283-25)&lt;=5,ABS(X283-40)&lt;=5,ABS(X283-60)&lt;=5,ABS(X283-80)&lt;=5),1,0))</f>
        <v/>
      </c>
      <c r="AA283">
        <f>IF(MAX(ABS(G283-H283),ABS(H283-I283),ABS(I283-J283),ABS(J283-K283),ABS(K283-L283),ABS(L283-M283),ABS(M283-N283))&gt;40,1,0)</f>
        <v/>
      </c>
    </row>
    <row r="284">
      <c r="X284">
        <f>IF(COUNT(H284,I284,J284,L284)&lt;4,"",ROUND(AVERAGE(H284,I284,J284,L284),1))</f>
        <v/>
      </c>
      <c r="Y284">
        <f>IF(X284="","",IF(X284&lt;26,"normal",IF(X284&lt;41,"mild",IF(X284&lt;61,"moderate",IF(X284&lt;81,"severe","profound")))))</f>
        <v/>
      </c>
      <c r="Z284">
        <f>IF(X284="","",IF(OR(ABS(X284-25)&lt;=5,ABS(X284-40)&lt;=5,ABS(X284-60)&lt;=5,ABS(X284-80)&lt;=5),1,0))</f>
        <v/>
      </c>
      <c r="AA284">
        <f>IF(MAX(ABS(G284-H284),ABS(H284-I284),ABS(I284-J284),ABS(J284-K284),ABS(K284-L284),ABS(L284-M284),ABS(M284-N284))&gt;40,1,0)</f>
        <v/>
      </c>
    </row>
    <row r="285">
      <c r="X285">
        <f>IF(COUNT(H285,I285,J285,L285)&lt;4,"",ROUND(AVERAGE(H285,I285,J285,L285),1))</f>
        <v/>
      </c>
      <c r="Y285">
        <f>IF(X285="","",IF(X285&lt;26,"normal",IF(X285&lt;41,"mild",IF(X285&lt;61,"moderate",IF(X285&lt;81,"severe","profound")))))</f>
        <v/>
      </c>
      <c r="Z285">
        <f>IF(X285="","",IF(OR(ABS(X285-25)&lt;=5,ABS(X285-40)&lt;=5,ABS(X285-60)&lt;=5,ABS(X285-80)&lt;=5),1,0))</f>
        <v/>
      </c>
      <c r="AA285">
        <f>IF(MAX(ABS(G285-H285),ABS(H285-I285),ABS(I285-J285),ABS(J285-K285),ABS(K285-L285),ABS(L285-M285),ABS(M285-N285))&gt;40,1,0)</f>
        <v/>
      </c>
    </row>
    <row r="286">
      <c r="X286">
        <f>IF(COUNT(H286,I286,J286,L286)&lt;4,"",ROUND(AVERAGE(H286,I286,J286,L286),1))</f>
        <v/>
      </c>
      <c r="Y286">
        <f>IF(X286="","",IF(X286&lt;26,"normal",IF(X286&lt;41,"mild",IF(X286&lt;61,"moderate",IF(X286&lt;81,"severe","profound")))))</f>
        <v/>
      </c>
      <c r="Z286">
        <f>IF(X286="","",IF(OR(ABS(X286-25)&lt;=5,ABS(X286-40)&lt;=5,ABS(X286-60)&lt;=5,ABS(X286-80)&lt;=5),1,0))</f>
        <v/>
      </c>
      <c r="AA286">
        <f>IF(MAX(ABS(G286-H286),ABS(H286-I286),ABS(I286-J286),ABS(J286-K286),ABS(K286-L286),ABS(L286-M286),ABS(M286-N286))&gt;40,1,0)</f>
        <v/>
      </c>
    </row>
    <row r="287">
      <c r="X287">
        <f>IF(COUNT(H287,I287,J287,L287)&lt;4,"",ROUND(AVERAGE(H287,I287,J287,L287),1))</f>
        <v/>
      </c>
      <c r="Y287">
        <f>IF(X287="","",IF(X287&lt;26,"normal",IF(X287&lt;41,"mild",IF(X287&lt;61,"moderate",IF(X287&lt;81,"severe","profound")))))</f>
        <v/>
      </c>
      <c r="Z287">
        <f>IF(X287="","",IF(OR(ABS(X287-25)&lt;=5,ABS(X287-40)&lt;=5,ABS(X287-60)&lt;=5,ABS(X287-80)&lt;=5),1,0))</f>
        <v/>
      </c>
      <c r="AA287">
        <f>IF(MAX(ABS(G287-H287),ABS(H287-I287),ABS(I287-J287),ABS(J287-K287),ABS(K287-L287),ABS(L287-M287),ABS(M287-N287))&gt;40,1,0)</f>
        <v/>
      </c>
    </row>
    <row r="288">
      <c r="X288">
        <f>IF(COUNT(H288,I288,J288,L288)&lt;4,"",ROUND(AVERAGE(H288,I288,J288,L288),1))</f>
        <v/>
      </c>
      <c r="Y288">
        <f>IF(X288="","",IF(X288&lt;26,"normal",IF(X288&lt;41,"mild",IF(X288&lt;61,"moderate",IF(X288&lt;81,"severe","profound")))))</f>
        <v/>
      </c>
      <c r="Z288">
        <f>IF(X288="","",IF(OR(ABS(X288-25)&lt;=5,ABS(X288-40)&lt;=5,ABS(X288-60)&lt;=5,ABS(X288-80)&lt;=5),1,0))</f>
        <v/>
      </c>
      <c r="AA288">
        <f>IF(MAX(ABS(G288-H288),ABS(H288-I288),ABS(I288-J288),ABS(J288-K288),ABS(K288-L288),ABS(L288-M288),ABS(M288-N288))&gt;40,1,0)</f>
        <v/>
      </c>
    </row>
    <row r="289">
      <c r="X289">
        <f>IF(COUNT(H289,I289,J289,L289)&lt;4,"",ROUND(AVERAGE(H289,I289,J289,L289),1))</f>
        <v/>
      </c>
      <c r="Y289">
        <f>IF(X289="","",IF(X289&lt;26,"normal",IF(X289&lt;41,"mild",IF(X289&lt;61,"moderate",IF(X289&lt;81,"severe","profound")))))</f>
        <v/>
      </c>
      <c r="Z289">
        <f>IF(X289="","",IF(OR(ABS(X289-25)&lt;=5,ABS(X289-40)&lt;=5,ABS(X289-60)&lt;=5,ABS(X289-80)&lt;=5),1,0))</f>
        <v/>
      </c>
      <c r="AA289">
        <f>IF(MAX(ABS(G289-H289),ABS(H289-I289),ABS(I289-J289),ABS(J289-K289),ABS(K289-L289),ABS(L289-M289),ABS(M289-N289))&gt;40,1,0)</f>
        <v/>
      </c>
    </row>
    <row r="290">
      <c r="X290">
        <f>IF(COUNT(H290,I290,J290,L290)&lt;4,"",ROUND(AVERAGE(H290,I290,J290,L290),1))</f>
        <v/>
      </c>
      <c r="Y290">
        <f>IF(X290="","",IF(X290&lt;26,"normal",IF(X290&lt;41,"mild",IF(X290&lt;61,"moderate",IF(X290&lt;81,"severe","profound")))))</f>
        <v/>
      </c>
      <c r="Z290">
        <f>IF(X290="","",IF(OR(ABS(X290-25)&lt;=5,ABS(X290-40)&lt;=5,ABS(X290-60)&lt;=5,ABS(X290-80)&lt;=5),1,0))</f>
        <v/>
      </c>
      <c r="AA290">
        <f>IF(MAX(ABS(G290-H290),ABS(H290-I290),ABS(I290-J290),ABS(J290-K290),ABS(K290-L290),ABS(L290-M290),ABS(M290-N290))&gt;40,1,0)</f>
        <v/>
      </c>
    </row>
    <row r="291">
      <c r="X291">
        <f>IF(COUNT(H291,I291,J291,L291)&lt;4,"",ROUND(AVERAGE(H291,I291,J291,L291),1))</f>
        <v/>
      </c>
      <c r="Y291">
        <f>IF(X291="","",IF(X291&lt;26,"normal",IF(X291&lt;41,"mild",IF(X291&lt;61,"moderate",IF(X291&lt;81,"severe","profound")))))</f>
        <v/>
      </c>
      <c r="Z291">
        <f>IF(X291="","",IF(OR(ABS(X291-25)&lt;=5,ABS(X291-40)&lt;=5,ABS(X291-60)&lt;=5,ABS(X291-80)&lt;=5),1,0))</f>
        <v/>
      </c>
      <c r="AA291">
        <f>IF(MAX(ABS(G291-H291),ABS(H291-I291),ABS(I291-J291),ABS(J291-K291),ABS(K291-L291),ABS(L291-M291),ABS(M291-N291))&gt;40,1,0)</f>
        <v/>
      </c>
    </row>
    <row r="292">
      <c r="X292">
        <f>IF(COUNT(H292,I292,J292,L292)&lt;4,"",ROUND(AVERAGE(H292,I292,J292,L292),1))</f>
        <v/>
      </c>
      <c r="Y292">
        <f>IF(X292="","",IF(X292&lt;26,"normal",IF(X292&lt;41,"mild",IF(X292&lt;61,"moderate",IF(X292&lt;81,"severe","profound")))))</f>
        <v/>
      </c>
      <c r="Z292">
        <f>IF(X292="","",IF(OR(ABS(X292-25)&lt;=5,ABS(X292-40)&lt;=5,ABS(X292-60)&lt;=5,ABS(X292-80)&lt;=5),1,0))</f>
        <v/>
      </c>
      <c r="AA292">
        <f>IF(MAX(ABS(G292-H292),ABS(H292-I292),ABS(I292-J292),ABS(J292-K292),ABS(K292-L292),ABS(L292-M292),ABS(M292-N292))&gt;40,1,0)</f>
        <v/>
      </c>
    </row>
    <row r="293">
      <c r="X293">
        <f>IF(COUNT(H293,I293,J293,L293)&lt;4,"",ROUND(AVERAGE(H293,I293,J293,L293),1))</f>
        <v/>
      </c>
      <c r="Y293">
        <f>IF(X293="","",IF(X293&lt;26,"normal",IF(X293&lt;41,"mild",IF(X293&lt;61,"moderate",IF(X293&lt;81,"severe","profound")))))</f>
        <v/>
      </c>
      <c r="Z293">
        <f>IF(X293="","",IF(OR(ABS(X293-25)&lt;=5,ABS(X293-40)&lt;=5,ABS(X293-60)&lt;=5,ABS(X293-80)&lt;=5),1,0))</f>
        <v/>
      </c>
      <c r="AA293">
        <f>IF(MAX(ABS(G293-H293),ABS(H293-I293),ABS(I293-J293),ABS(J293-K293),ABS(K293-L293),ABS(L293-M293),ABS(M293-N293))&gt;40,1,0)</f>
        <v/>
      </c>
    </row>
    <row r="294">
      <c r="X294">
        <f>IF(COUNT(H294,I294,J294,L294)&lt;4,"",ROUND(AVERAGE(H294,I294,J294,L294),1))</f>
        <v/>
      </c>
      <c r="Y294">
        <f>IF(X294="","",IF(X294&lt;26,"normal",IF(X294&lt;41,"mild",IF(X294&lt;61,"moderate",IF(X294&lt;81,"severe","profound")))))</f>
        <v/>
      </c>
      <c r="Z294">
        <f>IF(X294="","",IF(OR(ABS(X294-25)&lt;=5,ABS(X294-40)&lt;=5,ABS(X294-60)&lt;=5,ABS(X294-80)&lt;=5),1,0))</f>
        <v/>
      </c>
      <c r="AA294">
        <f>IF(MAX(ABS(G294-H294),ABS(H294-I294),ABS(I294-J294),ABS(J294-K294),ABS(K294-L294),ABS(L294-M294),ABS(M294-N294))&gt;40,1,0)</f>
        <v/>
      </c>
    </row>
    <row r="295">
      <c r="X295">
        <f>IF(COUNT(H295,I295,J295,L295)&lt;4,"",ROUND(AVERAGE(H295,I295,J295,L295),1))</f>
        <v/>
      </c>
      <c r="Y295">
        <f>IF(X295="","",IF(X295&lt;26,"normal",IF(X295&lt;41,"mild",IF(X295&lt;61,"moderate",IF(X295&lt;81,"severe","profound")))))</f>
        <v/>
      </c>
      <c r="Z295">
        <f>IF(X295="","",IF(OR(ABS(X295-25)&lt;=5,ABS(X295-40)&lt;=5,ABS(X295-60)&lt;=5,ABS(X295-80)&lt;=5),1,0))</f>
        <v/>
      </c>
      <c r="AA295">
        <f>IF(MAX(ABS(G295-H295),ABS(H295-I295),ABS(I295-J295),ABS(J295-K295),ABS(K295-L295),ABS(L295-M295),ABS(M295-N295))&gt;40,1,0)</f>
        <v/>
      </c>
    </row>
    <row r="296">
      <c r="X296">
        <f>IF(COUNT(H296,I296,J296,L296)&lt;4,"",ROUND(AVERAGE(H296,I296,J296,L296),1))</f>
        <v/>
      </c>
      <c r="Y296">
        <f>IF(X296="","",IF(X296&lt;26,"normal",IF(X296&lt;41,"mild",IF(X296&lt;61,"moderate",IF(X296&lt;81,"severe","profound")))))</f>
        <v/>
      </c>
      <c r="Z296">
        <f>IF(X296="","",IF(OR(ABS(X296-25)&lt;=5,ABS(X296-40)&lt;=5,ABS(X296-60)&lt;=5,ABS(X296-80)&lt;=5),1,0))</f>
        <v/>
      </c>
      <c r="AA296">
        <f>IF(MAX(ABS(G296-H296),ABS(H296-I296),ABS(I296-J296),ABS(J296-K296),ABS(K296-L296),ABS(L296-M296),ABS(M296-N296))&gt;40,1,0)</f>
        <v/>
      </c>
    </row>
    <row r="297">
      <c r="X297">
        <f>IF(COUNT(H297,I297,J297,L297)&lt;4,"",ROUND(AVERAGE(H297,I297,J297,L297),1))</f>
        <v/>
      </c>
      <c r="Y297">
        <f>IF(X297="","",IF(X297&lt;26,"normal",IF(X297&lt;41,"mild",IF(X297&lt;61,"moderate",IF(X297&lt;81,"severe","profound")))))</f>
        <v/>
      </c>
      <c r="Z297">
        <f>IF(X297="","",IF(OR(ABS(X297-25)&lt;=5,ABS(X297-40)&lt;=5,ABS(X297-60)&lt;=5,ABS(X297-80)&lt;=5),1,0))</f>
        <v/>
      </c>
      <c r="AA297">
        <f>IF(MAX(ABS(G297-H297),ABS(H297-I297),ABS(I297-J297),ABS(J297-K297),ABS(K297-L297),ABS(L297-M297),ABS(M297-N297))&gt;40,1,0)</f>
        <v/>
      </c>
    </row>
    <row r="298">
      <c r="X298">
        <f>IF(COUNT(H298,I298,J298,L298)&lt;4,"",ROUND(AVERAGE(H298,I298,J298,L298),1))</f>
        <v/>
      </c>
      <c r="Y298">
        <f>IF(X298="","",IF(X298&lt;26,"normal",IF(X298&lt;41,"mild",IF(X298&lt;61,"moderate",IF(X298&lt;81,"severe","profound")))))</f>
        <v/>
      </c>
      <c r="Z298">
        <f>IF(X298="","",IF(OR(ABS(X298-25)&lt;=5,ABS(X298-40)&lt;=5,ABS(X298-60)&lt;=5,ABS(X298-80)&lt;=5),1,0))</f>
        <v/>
      </c>
      <c r="AA298">
        <f>IF(MAX(ABS(G298-H298),ABS(H298-I298),ABS(I298-J298),ABS(J298-K298),ABS(K298-L298),ABS(L298-M298),ABS(M298-N298))&gt;40,1,0)</f>
        <v/>
      </c>
    </row>
    <row r="299">
      <c r="X299">
        <f>IF(COUNT(H299,I299,J299,L299)&lt;4,"",ROUND(AVERAGE(H299,I299,J299,L299),1))</f>
        <v/>
      </c>
      <c r="Y299">
        <f>IF(X299="","",IF(X299&lt;26,"normal",IF(X299&lt;41,"mild",IF(X299&lt;61,"moderate",IF(X299&lt;81,"severe","profound")))))</f>
        <v/>
      </c>
      <c r="Z299">
        <f>IF(X299="","",IF(OR(ABS(X299-25)&lt;=5,ABS(X299-40)&lt;=5,ABS(X299-60)&lt;=5,ABS(X299-80)&lt;=5),1,0))</f>
        <v/>
      </c>
      <c r="AA299">
        <f>IF(MAX(ABS(G299-H299),ABS(H299-I299),ABS(I299-J299),ABS(J299-K299),ABS(K299-L299),ABS(L299-M299),ABS(M299-N299))&gt;40,1,0)</f>
        <v/>
      </c>
    </row>
    <row r="300">
      <c r="X300">
        <f>IF(COUNT(H300,I300,J300,L300)&lt;4,"",ROUND(AVERAGE(H300,I300,J300,L300),1))</f>
        <v/>
      </c>
      <c r="Y300">
        <f>IF(X300="","",IF(X300&lt;26,"normal",IF(X300&lt;41,"mild",IF(X300&lt;61,"moderate",IF(X300&lt;81,"severe","profound")))))</f>
        <v/>
      </c>
      <c r="Z300">
        <f>IF(X300="","",IF(OR(ABS(X300-25)&lt;=5,ABS(X300-40)&lt;=5,ABS(X300-60)&lt;=5,ABS(X300-80)&lt;=5),1,0))</f>
        <v/>
      </c>
      <c r="AA300">
        <f>IF(MAX(ABS(G300-H300),ABS(H300-I300),ABS(I300-J300),ABS(J300-K300),ABS(K300-L300),ABS(L300-M300),ABS(M300-N300))&gt;40,1,0)</f>
        <v/>
      </c>
    </row>
    <row r="301">
      <c r="X301">
        <f>IF(COUNT(H301,I301,J301,L301)&lt;4,"",ROUND(AVERAGE(H301,I301,J301,L301),1))</f>
        <v/>
      </c>
      <c r="Y301">
        <f>IF(X301="","",IF(X301&lt;26,"normal",IF(X301&lt;41,"mild",IF(X301&lt;61,"moderate",IF(X301&lt;81,"severe","profound")))))</f>
        <v/>
      </c>
      <c r="Z301">
        <f>IF(X301="","",IF(OR(ABS(X301-25)&lt;=5,ABS(X301-40)&lt;=5,ABS(X301-60)&lt;=5,ABS(X301-80)&lt;=5),1,0))</f>
        <v/>
      </c>
      <c r="AA301">
        <f>IF(MAX(ABS(G301-H301),ABS(H301-I301),ABS(I301-J301),ABS(J301-K301),ABS(K301-L301),ABS(L301-M301),ABS(M301-N301))&gt;40,1,0)</f>
        <v/>
      </c>
    </row>
    <row r="302">
      <c r="X302">
        <f>IF(COUNT(H302,I302,J302,L302)&lt;4,"",ROUND(AVERAGE(H302,I302,J302,L302),1))</f>
        <v/>
      </c>
      <c r="Y302">
        <f>IF(X302="","",IF(X302&lt;26,"normal",IF(X302&lt;41,"mild",IF(X302&lt;61,"moderate",IF(X302&lt;81,"severe","profound")))))</f>
        <v/>
      </c>
      <c r="Z302">
        <f>IF(X302="","",IF(OR(ABS(X302-25)&lt;=5,ABS(X302-40)&lt;=5,ABS(X302-60)&lt;=5,ABS(X302-80)&lt;=5),1,0))</f>
        <v/>
      </c>
      <c r="AA302">
        <f>IF(MAX(ABS(G302-H302),ABS(H302-I302),ABS(I302-J302),ABS(J302-K302),ABS(K302-L302),ABS(L302-M302),ABS(M302-N302))&gt;40,1,0)</f>
        <v/>
      </c>
    </row>
    <row r="303">
      <c r="X303">
        <f>IF(COUNT(H303,I303,J303,L303)&lt;4,"",ROUND(AVERAGE(H303,I303,J303,L303),1))</f>
        <v/>
      </c>
      <c r="Y303">
        <f>IF(X303="","",IF(X303&lt;26,"normal",IF(X303&lt;41,"mild",IF(X303&lt;61,"moderate",IF(X303&lt;81,"severe","profound")))))</f>
        <v/>
      </c>
      <c r="Z303">
        <f>IF(X303="","",IF(OR(ABS(X303-25)&lt;=5,ABS(X303-40)&lt;=5,ABS(X303-60)&lt;=5,ABS(X303-80)&lt;=5),1,0))</f>
        <v/>
      </c>
      <c r="AA303">
        <f>IF(MAX(ABS(G303-H303),ABS(H303-I303),ABS(I303-J303),ABS(J303-K303),ABS(K303-L303),ABS(L303-M303),ABS(M303-N303))&gt;40,1,0)</f>
        <v/>
      </c>
    </row>
    <row r="304">
      <c r="X304">
        <f>IF(COUNT(H304,I304,J304,L304)&lt;4,"",ROUND(AVERAGE(H304,I304,J304,L304),1))</f>
        <v/>
      </c>
      <c r="Y304">
        <f>IF(X304="","",IF(X304&lt;26,"normal",IF(X304&lt;41,"mild",IF(X304&lt;61,"moderate",IF(X304&lt;81,"severe","profound")))))</f>
        <v/>
      </c>
      <c r="Z304">
        <f>IF(X304="","",IF(OR(ABS(X304-25)&lt;=5,ABS(X304-40)&lt;=5,ABS(X304-60)&lt;=5,ABS(X304-80)&lt;=5),1,0))</f>
        <v/>
      </c>
      <c r="AA304">
        <f>IF(MAX(ABS(G304-H304),ABS(H304-I304),ABS(I304-J304),ABS(J304-K304),ABS(K304-L304),ABS(L304-M304),ABS(M304-N304))&gt;40,1,0)</f>
        <v/>
      </c>
    </row>
    <row r="305">
      <c r="X305">
        <f>IF(COUNT(H305,I305,J305,L305)&lt;4,"",ROUND(AVERAGE(H305,I305,J305,L305),1))</f>
        <v/>
      </c>
      <c r="Y305">
        <f>IF(X305="","",IF(X305&lt;26,"normal",IF(X305&lt;41,"mild",IF(X305&lt;61,"moderate",IF(X305&lt;81,"severe","profound")))))</f>
        <v/>
      </c>
      <c r="Z305">
        <f>IF(X305="","",IF(OR(ABS(X305-25)&lt;=5,ABS(X305-40)&lt;=5,ABS(X305-60)&lt;=5,ABS(X305-80)&lt;=5),1,0))</f>
        <v/>
      </c>
      <c r="AA305">
        <f>IF(MAX(ABS(G305-H305),ABS(H305-I305),ABS(I305-J305),ABS(J305-K305),ABS(K305-L305),ABS(L305-M305),ABS(M305-N305))&gt;40,1,0)</f>
        <v/>
      </c>
    </row>
    <row r="306">
      <c r="X306">
        <f>IF(COUNT(H306,I306,J306,L306)&lt;4,"",ROUND(AVERAGE(H306,I306,J306,L306),1))</f>
        <v/>
      </c>
      <c r="Y306">
        <f>IF(X306="","",IF(X306&lt;26,"normal",IF(X306&lt;41,"mild",IF(X306&lt;61,"moderate",IF(X306&lt;81,"severe","profound")))))</f>
        <v/>
      </c>
      <c r="Z306">
        <f>IF(X306="","",IF(OR(ABS(X306-25)&lt;=5,ABS(X306-40)&lt;=5,ABS(X306-60)&lt;=5,ABS(X306-80)&lt;=5),1,0))</f>
        <v/>
      </c>
      <c r="AA306">
        <f>IF(MAX(ABS(G306-H306),ABS(H306-I306),ABS(I306-J306),ABS(J306-K306),ABS(K306-L306),ABS(L306-M306),ABS(M306-N306))&gt;40,1,0)</f>
        <v/>
      </c>
    </row>
    <row r="307">
      <c r="X307">
        <f>IF(COUNT(H307,I307,J307,L307)&lt;4,"",ROUND(AVERAGE(H307,I307,J307,L307),1))</f>
        <v/>
      </c>
      <c r="Y307">
        <f>IF(X307="","",IF(X307&lt;26,"normal",IF(X307&lt;41,"mild",IF(X307&lt;61,"moderate",IF(X307&lt;81,"severe","profound")))))</f>
        <v/>
      </c>
      <c r="Z307">
        <f>IF(X307="","",IF(OR(ABS(X307-25)&lt;=5,ABS(X307-40)&lt;=5,ABS(X307-60)&lt;=5,ABS(X307-80)&lt;=5),1,0))</f>
        <v/>
      </c>
      <c r="AA307">
        <f>IF(MAX(ABS(G307-H307),ABS(H307-I307),ABS(I307-J307),ABS(J307-K307),ABS(K307-L307),ABS(L307-M307),ABS(M307-N307))&gt;40,1,0)</f>
        <v/>
      </c>
    </row>
    <row r="308">
      <c r="X308">
        <f>IF(COUNT(H308,I308,J308,L308)&lt;4,"",ROUND(AVERAGE(H308,I308,J308,L308),1))</f>
        <v/>
      </c>
      <c r="Y308">
        <f>IF(X308="","",IF(X308&lt;26,"normal",IF(X308&lt;41,"mild",IF(X308&lt;61,"moderate",IF(X308&lt;81,"severe","profound")))))</f>
        <v/>
      </c>
      <c r="Z308">
        <f>IF(X308="","",IF(OR(ABS(X308-25)&lt;=5,ABS(X308-40)&lt;=5,ABS(X308-60)&lt;=5,ABS(X308-80)&lt;=5),1,0))</f>
        <v/>
      </c>
      <c r="AA308">
        <f>IF(MAX(ABS(G308-H308),ABS(H308-I308),ABS(I308-J308),ABS(J308-K308),ABS(K308-L308),ABS(L308-M308),ABS(M308-N308))&gt;40,1,0)</f>
        <v/>
      </c>
    </row>
    <row r="309">
      <c r="X309">
        <f>IF(COUNT(H309,I309,J309,L309)&lt;4,"",ROUND(AVERAGE(H309,I309,J309,L309),1))</f>
        <v/>
      </c>
      <c r="Y309">
        <f>IF(X309="","",IF(X309&lt;26,"normal",IF(X309&lt;41,"mild",IF(X309&lt;61,"moderate",IF(X309&lt;81,"severe","profound")))))</f>
        <v/>
      </c>
      <c r="Z309">
        <f>IF(X309="","",IF(OR(ABS(X309-25)&lt;=5,ABS(X309-40)&lt;=5,ABS(X309-60)&lt;=5,ABS(X309-80)&lt;=5),1,0))</f>
        <v/>
      </c>
      <c r="AA309">
        <f>IF(MAX(ABS(G309-H309),ABS(H309-I309),ABS(I309-J309),ABS(J309-K309),ABS(K309-L309),ABS(L309-M309),ABS(M309-N309))&gt;40,1,0)</f>
        <v/>
      </c>
    </row>
    <row r="310">
      <c r="X310">
        <f>IF(COUNT(H310,I310,J310,L310)&lt;4,"",ROUND(AVERAGE(H310,I310,J310,L310),1))</f>
        <v/>
      </c>
      <c r="Y310">
        <f>IF(X310="","",IF(X310&lt;26,"normal",IF(X310&lt;41,"mild",IF(X310&lt;61,"moderate",IF(X310&lt;81,"severe","profound")))))</f>
        <v/>
      </c>
      <c r="Z310">
        <f>IF(X310="","",IF(OR(ABS(X310-25)&lt;=5,ABS(X310-40)&lt;=5,ABS(X310-60)&lt;=5,ABS(X310-80)&lt;=5),1,0))</f>
        <v/>
      </c>
      <c r="AA310">
        <f>IF(MAX(ABS(G310-H310),ABS(H310-I310),ABS(I310-J310),ABS(J310-K310),ABS(K310-L310),ABS(L310-M310),ABS(M310-N310))&gt;40,1,0)</f>
        <v/>
      </c>
    </row>
    <row r="311">
      <c r="X311">
        <f>IF(COUNT(H311,I311,J311,L311)&lt;4,"",ROUND(AVERAGE(H311,I311,J311,L311),1))</f>
        <v/>
      </c>
      <c r="Y311">
        <f>IF(X311="","",IF(X311&lt;26,"normal",IF(X311&lt;41,"mild",IF(X311&lt;61,"moderate",IF(X311&lt;81,"severe","profound")))))</f>
        <v/>
      </c>
      <c r="Z311">
        <f>IF(X311="","",IF(OR(ABS(X311-25)&lt;=5,ABS(X311-40)&lt;=5,ABS(X311-60)&lt;=5,ABS(X311-80)&lt;=5),1,0))</f>
        <v/>
      </c>
      <c r="AA311">
        <f>IF(MAX(ABS(G311-H311),ABS(H311-I311),ABS(I311-J311),ABS(J311-K311),ABS(K311-L311),ABS(L311-M311),ABS(M311-N311))&gt;40,1,0)</f>
        <v/>
      </c>
    </row>
    <row r="312">
      <c r="X312">
        <f>IF(COUNT(H312,I312,J312,L312)&lt;4,"",ROUND(AVERAGE(H312,I312,J312,L312),1))</f>
        <v/>
      </c>
      <c r="Y312">
        <f>IF(X312="","",IF(X312&lt;26,"normal",IF(X312&lt;41,"mild",IF(X312&lt;61,"moderate",IF(X312&lt;81,"severe","profound")))))</f>
        <v/>
      </c>
      <c r="Z312">
        <f>IF(X312="","",IF(OR(ABS(X312-25)&lt;=5,ABS(X312-40)&lt;=5,ABS(X312-60)&lt;=5,ABS(X312-80)&lt;=5),1,0))</f>
        <v/>
      </c>
      <c r="AA312">
        <f>IF(MAX(ABS(G312-H312),ABS(H312-I312),ABS(I312-J312),ABS(J312-K312),ABS(K312-L312),ABS(L312-M312),ABS(M312-N312))&gt;40,1,0)</f>
        <v/>
      </c>
    </row>
    <row r="313">
      <c r="X313">
        <f>IF(COUNT(H313,I313,J313,L313)&lt;4,"",ROUND(AVERAGE(H313,I313,J313,L313),1))</f>
        <v/>
      </c>
      <c r="Y313">
        <f>IF(X313="","",IF(X313&lt;26,"normal",IF(X313&lt;41,"mild",IF(X313&lt;61,"moderate",IF(X313&lt;81,"severe","profound")))))</f>
        <v/>
      </c>
      <c r="Z313">
        <f>IF(X313="","",IF(OR(ABS(X313-25)&lt;=5,ABS(X313-40)&lt;=5,ABS(X313-60)&lt;=5,ABS(X313-80)&lt;=5),1,0))</f>
        <v/>
      </c>
      <c r="AA313">
        <f>IF(MAX(ABS(G313-H313),ABS(H313-I313),ABS(I313-J313),ABS(J313-K313),ABS(K313-L313),ABS(L313-M313),ABS(M313-N313))&gt;40,1,0)</f>
        <v/>
      </c>
    </row>
    <row r="314">
      <c r="X314">
        <f>IF(COUNT(H314,I314,J314,L314)&lt;4,"",ROUND(AVERAGE(H314,I314,J314,L314),1))</f>
        <v/>
      </c>
      <c r="Y314">
        <f>IF(X314="","",IF(X314&lt;26,"normal",IF(X314&lt;41,"mild",IF(X314&lt;61,"moderate",IF(X314&lt;81,"severe","profound")))))</f>
        <v/>
      </c>
      <c r="Z314">
        <f>IF(X314="","",IF(OR(ABS(X314-25)&lt;=5,ABS(X314-40)&lt;=5,ABS(X314-60)&lt;=5,ABS(X314-80)&lt;=5),1,0))</f>
        <v/>
      </c>
      <c r="AA314">
        <f>IF(MAX(ABS(G314-H314),ABS(H314-I314),ABS(I314-J314),ABS(J314-K314),ABS(K314-L314),ABS(L314-M314),ABS(M314-N314))&gt;40,1,0)</f>
        <v/>
      </c>
    </row>
    <row r="315">
      <c r="X315">
        <f>IF(COUNT(H315,I315,J315,L315)&lt;4,"",ROUND(AVERAGE(H315,I315,J315,L315),1))</f>
        <v/>
      </c>
      <c r="Y315">
        <f>IF(X315="","",IF(X315&lt;26,"normal",IF(X315&lt;41,"mild",IF(X315&lt;61,"moderate",IF(X315&lt;81,"severe","profound")))))</f>
        <v/>
      </c>
      <c r="Z315">
        <f>IF(X315="","",IF(OR(ABS(X315-25)&lt;=5,ABS(X315-40)&lt;=5,ABS(X315-60)&lt;=5,ABS(X315-80)&lt;=5),1,0))</f>
        <v/>
      </c>
      <c r="AA315">
        <f>IF(MAX(ABS(G315-H315),ABS(H315-I315),ABS(I315-J315),ABS(J315-K315),ABS(K315-L315),ABS(L315-M315),ABS(M315-N315))&gt;40,1,0)</f>
        <v/>
      </c>
    </row>
    <row r="316">
      <c r="X316">
        <f>IF(COUNT(H316,I316,J316,L316)&lt;4,"",ROUND(AVERAGE(H316,I316,J316,L316),1))</f>
        <v/>
      </c>
      <c r="Y316">
        <f>IF(X316="","",IF(X316&lt;26,"normal",IF(X316&lt;41,"mild",IF(X316&lt;61,"moderate",IF(X316&lt;81,"severe","profound")))))</f>
        <v/>
      </c>
      <c r="Z316">
        <f>IF(X316="","",IF(OR(ABS(X316-25)&lt;=5,ABS(X316-40)&lt;=5,ABS(X316-60)&lt;=5,ABS(X316-80)&lt;=5),1,0))</f>
        <v/>
      </c>
      <c r="AA316">
        <f>IF(MAX(ABS(G316-H316),ABS(H316-I316),ABS(I316-J316),ABS(J316-K316),ABS(K316-L316),ABS(L316-M316),ABS(M316-N316))&gt;40,1,0)</f>
        <v/>
      </c>
    </row>
    <row r="317">
      <c r="X317">
        <f>IF(COUNT(H317,I317,J317,L317)&lt;4,"",ROUND(AVERAGE(H317,I317,J317,L317),1))</f>
        <v/>
      </c>
      <c r="Y317">
        <f>IF(X317="","",IF(X317&lt;26,"normal",IF(X317&lt;41,"mild",IF(X317&lt;61,"moderate",IF(X317&lt;81,"severe","profound")))))</f>
        <v/>
      </c>
      <c r="Z317">
        <f>IF(X317="","",IF(OR(ABS(X317-25)&lt;=5,ABS(X317-40)&lt;=5,ABS(X317-60)&lt;=5,ABS(X317-80)&lt;=5),1,0))</f>
        <v/>
      </c>
      <c r="AA317">
        <f>IF(MAX(ABS(G317-H317),ABS(H317-I317),ABS(I317-J317),ABS(J317-K317),ABS(K317-L317),ABS(L317-M317),ABS(M317-N317))&gt;40,1,0)</f>
        <v/>
      </c>
    </row>
    <row r="318">
      <c r="X318">
        <f>IF(COUNT(H318,I318,J318,L318)&lt;4,"",ROUND(AVERAGE(H318,I318,J318,L318),1))</f>
        <v/>
      </c>
      <c r="Y318">
        <f>IF(X318="","",IF(X318&lt;26,"normal",IF(X318&lt;41,"mild",IF(X318&lt;61,"moderate",IF(X318&lt;81,"severe","profound")))))</f>
        <v/>
      </c>
      <c r="Z318">
        <f>IF(X318="","",IF(OR(ABS(X318-25)&lt;=5,ABS(X318-40)&lt;=5,ABS(X318-60)&lt;=5,ABS(X318-80)&lt;=5),1,0))</f>
        <v/>
      </c>
      <c r="AA318">
        <f>IF(MAX(ABS(G318-H318),ABS(H318-I318),ABS(I318-J318),ABS(J318-K318),ABS(K318-L318),ABS(L318-M318),ABS(M318-N318))&gt;40,1,0)</f>
        <v/>
      </c>
    </row>
    <row r="319">
      <c r="X319">
        <f>IF(COUNT(H319,I319,J319,L319)&lt;4,"",ROUND(AVERAGE(H319,I319,J319,L319),1))</f>
        <v/>
      </c>
      <c r="Y319">
        <f>IF(X319="","",IF(X319&lt;26,"normal",IF(X319&lt;41,"mild",IF(X319&lt;61,"moderate",IF(X319&lt;81,"severe","profound")))))</f>
        <v/>
      </c>
      <c r="Z319">
        <f>IF(X319="","",IF(OR(ABS(X319-25)&lt;=5,ABS(X319-40)&lt;=5,ABS(X319-60)&lt;=5,ABS(X319-80)&lt;=5),1,0))</f>
        <v/>
      </c>
      <c r="AA319">
        <f>IF(MAX(ABS(G319-H319),ABS(H319-I319),ABS(I319-J319),ABS(J319-K319),ABS(K319-L319),ABS(L319-M319),ABS(M319-N319))&gt;40,1,0)</f>
        <v/>
      </c>
    </row>
    <row r="320">
      <c r="X320">
        <f>IF(COUNT(H320,I320,J320,L320)&lt;4,"",ROUND(AVERAGE(H320,I320,J320,L320),1))</f>
        <v/>
      </c>
      <c r="Y320">
        <f>IF(X320="","",IF(X320&lt;26,"normal",IF(X320&lt;41,"mild",IF(X320&lt;61,"moderate",IF(X320&lt;81,"severe","profound")))))</f>
        <v/>
      </c>
      <c r="Z320">
        <f>IF(X320="","",IF(OR(ABS(X320-25)&lt;=5,ABS(X320-40)&lt;=5,ABS(X320-60)&lt;=5,ABS(X320-80)&lt;=5),1,0))</f>
        <v/>
      </c>
      <c r="AA320">
        <f>IF(MAX(ABS(G320-H320),ABS(H320-I320),ABS(I320-J320),ABS(J320-K320),ABS(K320-L320),ABS(L320-M320),ABS(M320-N320))&gt;40,1,0)</f>
        <v/>
      </c>
    </row>
    <row r="321">
      <c r="X321">
        <f>IF(COUNT(H321,I321,J321,L321)&lt;4,"",ROUND(AVERAGE(H321,I321,J321,L321),1))</f>
        <v/>
      </c>
      <c r="Y321">
        <f>IF(X321="","",IF(X321&lt;26,"normal",IF(X321&lt;41,"mild",IF(X321&lt;61,"moderate",IF(X321&lt;81,"severe","profound")))))</f>
        <v/>
      </c>
      <c r="Z321">
        <f>IF(X321="","",IF(OR(ABS(X321-25)&lt;=5,ABS(X321-40)&lt;=5,ABS(X321-60)&lt;=5,ABS(X321-80)&lt;=5),1,0))</f>
        <v/>
      </c>
      <c r="AA321">
        <f>IF(MAX(ABS(G321-H321),ABS(H321-I321),ABS(I321-J321),ABS(J321-K321),ABS(K321-L321),ABS(L321-M321),ABS(M321-N321))&gt;40,1,0)</f>
        <v/>
      </c>
    </row>
    <row r="322">
      <c r="X322">
        <f>IF(COUNT(H322,I322,J322,L322)&lt;4,"",ROUND(AVERAGE(H322,I322,J322,L322),1))</f>
        <v/>
      </c>
      <c r="Y322">
        <f>IF(X322="","",IF(X322&lt;26,"normal",IF(X322&lt;41,"mild",IF(X322&lt;61,"moderate",IF(X322&lt;81,"severe","profound")))))</f>
        <v/>
      </c>
      <c r="Z322">
        <f>IF(X322="","",IF(OR(ABS(X322-25)&lt;=5,ABS(X322-40)&lt;=5,ABS(X322-60)&lt;=5,ABS(X322-80)&lt;=5),1,0))</f>
        <v/>
      </c>
      <c r="AA322">
        <f>IF(MAX(ABS(G322-H322),ABS(H322-I322),ABS(I322-J322),ABS(J322-K322),ABS(K322-L322),ABS(L322-M322),ABS(M322-N322))&gt;40,1,0)</f>
        <v/>
      </c>
    </row>
    <row r="323">
      <c r="X323">
        <f>IF(COUNT(H323,I323,J323,L323)&lt;4,"",ROUND(AVERAGE(H323,I323,J323,L323),1))</f>
        <v/>
      </c>
      <c r="Y323">
        <f>IF(X323="","",IF(X323&lt;26,"normal",IF(X323&lt;41,"mild",IF(X323&lt;61,"moderate",IF(X323&lt;81,"severe","profound")))))</f>
        <v/>
      </c>
      <c r="Z323">
        <f>IF(X323="","",IF(OR(ABS(X323-25)&lt;=5,ABS(X323-40)&lt;=5,ABS(X323-60)&lt;=5,ABS(X323-80)&lt;=5),1,0))</f>
        <v/>
      </c>
      <c r="AA323">
        <f>IF(MAX(ABS(G323-H323),ABS(H323-I323),ABS(I323-J323),ABS(J323-K323),ABS(K323-L323),ABS(L323-M323),ABS(M323-N323))&gt;40,1,0)</f>
        <v/>
      </c>
    </row>
    <row r="324">
      <c r="X324">
        <f>IF(COUNT(H324,I324,J324,L324)&lt;4,"",ROUND(AVERAGE(H324,I324,J324,L324),1))</f>
        <v/>
      </c>
      <c r="Y324">
        <f>IF(X324="","",IF(X324&lt;26,"normal",IF(X324&lt;41,"mild",IF(X324&lt;61,"moderate",IF(X324&lt;81,"severe","profound")))))</f>
        <v/>
      </c>
      <c r="Z324">
        <f>IF(X324="","",IF(OR(ABS(X324-25)&lt;=5,ABS(X324-40)&lt;=5,ABS(X324-60)&lt;=5,ABS(X324-80)&lt;=5),1,0))</f>
        <v/>
      </c>
      <c r="AA324">
        <f>IF(MAX(ABS(G324-H324),ABS(H324-I324),ABS(I324-J324),ABS(J324-K324),ABS(K324-L324),ABS(L324-M324),ABS(M324-N324))&gt;40,1,0)</f>
        <v/>
      </c>
    </row>
    <row r="325">
      <c r="X325">
        <f>IF(COUNT(H325,I325,J325,L325)&lt;4,"",ROUND(AVERAGE(H325,I325,J325,L325),1))</f>
        <v/>
      </c>
      <c r="Y325">
        <f>IF(X325="","",IF(X325&lt;26,"normal",IF(X325&lt;41,"mild",IF(X325&lt;61,"moderate",IF(X325&lt;81,"severe","profound")))))</f>
        <v/>
      </c>
      <c r="Z325">
        <f>IF(X325="","",IF(OR(ABS(X325-25)&lt;=5,ABS(X325-40)&lt;=5,ABS(X325-60)&lt;=5,ABS(X325-80)&lt;=5),1,0))</f>
        <v/>
      </c>
      <c r="AA325">
        <f>IF(MAX(ABS(G325-H325),ABS(H325-I325),ABS(I325-J325),ABS(J325-K325),ABS(K325-L325),ABS(L325-M325),ABS(M325-N325))&gt;40,1,0)</f>
        <v/>
      </c>
    </row>
    <row r="326">
      <c r="X326">
        <f>IF(COUNT(H326,I326,J326,L326)&lt;4,"",ROUND(AVERAGE(H326,I326,J326,L326),1))</f>
        <v/>
      </c>
      <c r="Y326">
        <f>IF(X326="","",IF(X326&lt;26,"normal",IF(X326&lt;41,"mild",IF(X326&lt;61,"moderate",IF(X326&lt;81,"severe","profound")))))</f>
        <v/>
      </c>
      <c r="Z326">
        <f>IF(X326="","",IF(OR(ABS(X326-25)&lt;=5,ABS(X326-40)&lt;=5,ABS(X326-60)&lt;=5,ABS(X326-80)&lt;=5),1,0))</f>
        <v/>
      </c>
      <c r="AA326">
        <f>IF(MAX(ABS(G326-H326),ABS(H326-I326),ABS(I326-J326),ABS(J326-K326),ABS(K326-L326),ABS(L326-M326),ABS(M326-N326))&gt;40,1,0)</f>
        <v/>
      </c>
    </row>
    <row r="327">
      <c r="X327">
        <f>IF(COUNT(H327,I327,J327,L327)&lt;4,"",ROUND(AVERAGE(H327,I327,J327,L327),1))</f>
        <v/>
      </c>
      <c r="Y327">
        <f>IF(X327="","",IF(X327&lt;26,"normal",IF(X327&lt;41,"mild",IF(X327&lt;61,"moderate",IF(X327&lt;81,"severe","profound")))))</f>
        <v/>
      </c>
      <c r="Z327">
        <f>IF(X327="","",IF(OR(ABS(X327-25)&lt;=5,ABS(X327-40)&lt;=5,ABS(X327-60)&lt;=5,ABS(X327-80)&lt;=5),1,0))</f>
        <v/>
      </c>
      <c r="AA327">
        <f>IF(MAX(ABS(G327-H327),ABS(H327-I327),ABS(I327-J327),ABS(J327-K327),ABS(K327-L327),ABS(L327-M327),ABS(M327-N327))&gt;40,1,0)</f>
        <v/>
      </c>
    </row>
    <row r="328">
      <c r="X328">
        <f>IF(COUNT(H328,I328,J328,L328)&lt;4,"",ROUND(AVERAGE(H328,I328,J328,L328),1))</f>
        <v/>
      </c>
      <c r="Y328">
        <f>IF(X328="","",IF(X328&lt;26,"normal",IF(X328&lt;41,"mild",IF(X328&lt;61,"moderate",IF(X328&lt;81,"severe","profound")))))</f>
        <v/>
      </c>
      <c r="Z328">
        <f>IF(X328="","",IF(OR(ABS(X328-25)&lt;=5,ABS(X328-40)&lt;=5,ABS(X328-60)&lt;=5,ABS(X328-80)&lt;=5),1,0))</f>
        <v/>
      </c>
      <c r="AA328">
        <f>IF(MAX(ABS(G328-H328),ABS(H328-I328),ABS(I328-J328),ABS(J328-K328),ABS(K328-L328),ABS(L328-M328),ABS(M328-N328))&gt;40,1,0)</f>
        <v/>
      </c>
    </row>
    <row r="329">
      <c r="X329">
        <f>IF(COUNT(H329,I329,J329,L329)&lt;4,"",ROUND(AVERAGE(H329,I329,J329,L329),1))</f>
        <v/>
      </c>
      <c r="Y329">
        <f>IF(X329="","",IF(X329&lt;26,"normal",IF(X329&lt;41,"mild",IF(X329&lt;61,"moderate",IF(X329&lt;81,"severe","profound")))))</f>
        <v/>
      </c>
      <c r="Z329">
        <f>IF(X329="","",IF(OR(ABS(X329-25)&lt;=5,ABS(X329-40)&lt;=5,ABS(X329-60)&lt;=5,ABS(X329-80)&lt;=5),1,0))</f>
        <v/>
      </c>
      <c r="AA329">
        <f>IF(MAX(ABS(G329-H329),ABS(H329-I329),ABS(I329-J329),ABS(J329-K329),ABS(K329-L329),ABS(L329-M329),ABS(M329-N329))&gt;40,1,0)</f>
        <v/>
      </c>
    </row>
    <row r="330">
      <c r="X330">
        <f>IF(COUNT(H330,I330,J330,L330)&lt;4,"",ROUND(AVERAGE(H330,I330,J330,L330),1))</f>
        <v/>
      </c>
      <c r="Y330">
        <f>IF(X330="","",IF(X330&lt;26,"normal",IF(X330&lt;41,"mild",IF(X330&lt;61,"moderate",IF(X330&lt;81,"severe","profound")))))</f>
        <v/>
      </c>
      <c r="Z330">
        <f>IF(X330="","",IF(OR(ABS(X330-25)&lt;=5,ABS(X330-40)&lt;=5,ABS(X330-60)&lt;=5,ABS(X330-80)&lt;=5),1,0))</f>
        <v/>
      </c>
      <c r="AA330">
        <f>IF(MAX(ABS(G330-H330),ABS(H330-I330),ABS(I330-J330),ABS(J330-K330),ABS(K330-L330),ABS(L330-M330),ABS(M330-N330))&gt;40,1,0)</f>
        <v/>
      </c>
    </row>
    <row r="331">
      <c r="X331">
        <f>IF(COUNT(H331,I331,J331,L331)&lt;4,"",ROUND(AVERAGE(H331,I331,J331,L331),1))</f>
        <v/>
      </c>
      <c r="Y331">
        <f>IF(X331="","",IF(X331&lt;26,"normal",IF(X331&lt;41,"mild",IF(X331&lt;61,"moderate",IF(X331&lt;81,"severe","profound")))))</f>
        <v/>
      </c>
      <c r="Z331">
        <f>IF(X331="","",IF(OR(ABS(X331-25)&lt;=5,ABS(X331-40)&lt;=5,ABS(X331-60)&lt;=5,ABS(X331-80)&lt;=5),1,0))</f>
        <v/>
      </c>
      <c r="AA331">
        <f>IF(MAX(ABS(G331-H331),ABS(H331-I331),ABS(I331-J331),ABS(J331-K331),ABS(K331-L331),ABS(L331-M331),ABS(M331-N331))&gt;40,1,0)</f>
        <v/>
      </c>
    </row>
    <row r="332">
      <c r="X332">
        <f>IF(COUNT(H332,I332,J332,L332)&lt;4,"",ROUND(AVERAGE(H332,I332,J332,L332),1))</f>
        <v/>
      </c>
      <c r="Y332">
        <f>IF(X332="","",IF(X332&lt;26,"normal",IF(X332&lt;41,"mild",IF(X332&lt;61,"moderate",IF(X332&lt;81,"severe","profound")))))</f>
        <v/>
      </c>
      <c r="Z332">
        <f>IF(X332="","",IF(OR(ABS(X332-25)&lt;=5,ABS(X332-40)&lt;=5,ABS(X332-60)&lt;=5,ABS(X332-80)&lt;=5),1,0))</f>
        <v/>
      </c>
      <c r="AA332">
        <f>IF(MAX(ABS(G332-H332),ABS(H332-I332),ABS(I332-J332),ABS(J332-K332),ABS(K332-L332),ABS(L332-M332),ABS(M332-N332))&gt;40,1,0)</f>
        <v/>
      </c>
    </row>
    <row r="333">
      <c r="X333">
        <f>IF(COUNT(H333,I333,J333,L333)&lt;4,"",ROUND(AVERAGE(H333,I333,J333,L333),1))</f>
        <v/>
      </c>
      <c r="Y333">
        <f>IF(X333="","",IF(X333&lt;26,"normal",IF(X333&lt;41,"mild",IF(X333&lt;61,"moderate",IF(X333&lt;81,"severe","profound")))))</f>
        <v/>
      </c>
      <c r="Z333">
        <f>IF(X333="","",IF(OR(ABS(X333-25)&lt;=5,ABS(X333-40)&lt;=5,ABS(X333-60)&lt;=5,ABS(X333-80)&lt;=5),1,0))</f>
        <v/>
      </c>
      <c r="AA333">
        <f>IF(MAX(ABS(G333-H333),ABS(H333-I333),ABS(I333-J333),ABS(J333-K333),ABS(K333-L333),ABS(L333-M333),ABS(M333-N333))&gt;40,1,0)</f>
        <v/>
      </c>
    </row>
    <row r="334">
      <c r="X334">
        <f>IF(COUNT(H334,I334,J334,L334)&lt;4,"",ROUND(AVERAGE(H334,I334,J334,L334),1))</f>
        <v/>
      </c>
      <c r="Y334">
        <f>IF(X334="","",IF(X334&lt;26,"normal",IF(X334&lt;41,"mild",IF(X334&lt;61,"moderate",IF(X334&lt;81,"severe","profound")))))</f>
        <v/>
      </c>
      <c r="Z334">
        <f>IF(X334="","",IF(OR(ABS(X334-25)&lt;=5,ABS(X334-40)&lt;=5,ABS(X334-60)&lt;=5,ABS(X334-80)&lt;=5),1,0))</f>
        <v/>
      </c>
      <c r="AA334">
        <f>IF(MAX(ABS(G334-H334),ABS(H334-I334),ABS(I334-J334),ABS(J334-K334),ABS(K334-L334),ABS(L334-M334),ABS(M334-N334))&gt;40,1,0)</f>
        <v/>
      </c>
    </row>
    <row r="335">
      <c r="X335">
        <f>IF(COUNT(H335,I335,J335,L335)&lt;4,"",ROUND(AVERAGE(H335,I335,J335,L335),1))</f>
        <v/>
      </c>
      <c r="Y335">
        <f>IF(X335="","",IF(X335&lt;26,"normal",IF(X335&lt;41,"mild",IF(X335&lt;61,"moderate",IF(X335&lt;81,"severe","profound")))))</f>
        <v/>
      </c>
      <c r="Z335">
        <f>IF(X335="","",IF(OR(ABS(X335-25)&lt;=5,ABS(X335-40)&lt;=5,ABS(X335-60)&lt;=5,ABS(X335-80)&lt;=5),1,0))</f>
        <v/>
      </c>
      <c r="AA335">
        <f>IF(MAX(ABS(G335-H335),ABS(H335-I335),ABS(I335-J335),ABS(J335-K335),ABS(K335-L335),ABS(L335-M335),ABS(M335-N335))&gt;40,1,0)</f>
        <v/>
      </c>
    </row>
    <row r="336">
      <c r="X336">
        <f>IF(COUNT(H336,I336,J336,L336)&lt;4,"",ROUND(AVERAGE(H336,I336,J336,L336),1))</f>
        <v/>
      </c>
      <c r="Y336">
        <f>IF(X336="","",IF(X336&lt;26,"normal",IF(X336&lt;41,"mild",IF(X336&lt;61,"moderate",IF(X336&lt;81,"severe","profound")))))</f>
        <v/>
      </c>
      <c r="Z336">
        <f>IF(X336="","",IF(OR(ABS(X336-25)&lt;=5,ABS(X336-40)&lt;=5,ABS(X336-60)&lt;=5,ABS(X336-80)&lt;=5),1,0))</f>
        <v/>
      </c>
      <c r="AA336">
        <f>IF(MAX(ABS(G336-H336),ABS(H336-I336),ABS(I336-J336),ABS(J336-K336),ABS(K336-L336),ABS(L336-M336),ABS(M336-N336))&gt;40,1,0)</f>
        <v/>
      </c>
    </row>
    <row r="337">
      <c r="X337">
        <f>IF(COUNT(H337,I337,J337,L337)&lt;4,"",ROUND(AVERAGE(H337,I337,J337,L337),1))</f>
        <v/>
      </c>
      <c r="Y337">
        <f>IF(X337="","",IF(X337&lt;26,"normal",IF(X337&lt;41,"mild",IF(X337&lt;61,"moderate",IF(X337&lt;81,"severe","profound")))))</f>
        <v/>
      </c>
      <c r="Z337">
        <f>IF(X337="","",IF(OR(ABS(X337-25)&lt;=5,ABS(X337-40)&lt;=5,ABS(X337-60)&lt;=5,ABS(X337-80)&lt;=5),1,0))</f>
        <v/>
      </c>
      <c r="AA337">
        <f>IF(MAX(ABS(G337-H337),ABS(H337-I337),ABS(I337-J337),ABS(J337-K337),ABS(K337-L337),ABS(L337-M337),ABS(M337-N337))&gt;40,1,0)</f>
        <v/>
      </c>
    </row>
    <row r="338">
      <c r="X338">
        <f>IF(COUNT(H338,I338,J338,L338)&lt;4,"",ROUND(AVERAGE(H338,I338,J338,L338),1))</f>
        <v/>
      </c>
      <c r="Y338">
        <f>IF(X338="","",IF(X338&lt;26,"normal",IF(X338&lt;41,"mild",IF(X338&lt;61,"moderate",IF(X338&lt;81,"severe","profound")))))</f>
        <v/>
      </c>
      <c r="Z338">
        <f>IF(X338="","",IF(OR(ABS(X338-25)&lt;=5,ABS(X338-40)&lt;=5,ABS(X338-60)&lt;=5,ABS(X338-80)&lt;=5),1,0))</f>
        <v/>
      </c>
      <c r="AA338">
        <f>IF(MAX(ABS(G338-H338),ABS(H338-I338),ABS(I338-J338),ABS(J338-K338),ABS(K338-L338),ABS(L338-M338),ABS(M338-N338))&gt;40,1,0)</f>
        <v/>
      </c>
    </row>
    <row r="339">
      <c r="X339">
        <f>IF(COUNT(H339,I339,J339,L339)&lt;4,"",ROUND(AVERAGE(H339,I339,J339,L339),1))</f>
        <v/>
      </c>
      <c r="Y339">
        <f>IF(X339="","",IF(X339&lt;26,"normal",IF(X339&lt;41,"mild",IF(X339&lt;61,"moderate",IF(X339&lt;81,"severe","profound")))))</f>
        <v/>
      </c>
      <c r="Z339">
        <f>IF(X339="","",IF(OR(ABS(X339-25)&lt;=5,ABS(X339-40)&lt;=5,ABS(X339-60)&lt;=5,ABS(X339-80)&lt;=5),1,0))</f>
        <v/>
      </c>
      <c r="AA339">
        <f>IF(MAX(ABS(G339-H339),ABS(H339-I339),ABS(I339-J339),ABS(J339-K339),ABS(K339-L339),ABS(L339-M339),ABS(M339-N339))&gt;40,1,0)</f>
        <v/>
      </c>
    </row>
    <row r="340">
      <c r="X340">
        <f>IF(COUNT(H340,I340,J340,L340)&lt;4,"",ROUND(AVERAGE(H340,I340,J340,L340),1))</f>
        <v/>
      </c>
      <c r="Y340">
        <f>IF(X340="","",IF(X340&lt;26,"normal",IF(X340&lt;41,"mild",IF(X340&lt;61,"moderate",IF(X340&lt;81,"severe","profound")))))</f>
        <v/>
      </c>
      <c r="Z340">
        <f>IF(X340="","",IF(OR(ABS(X340-25)&lt;=5,ABS(X340-40)&lt;=5,ABS(X340-60)&lt;=5,ABS(X340-80)&lt;=5),1,0))</f>
        <v/>
      </c>
      <c r="AA340">
        <f>IF(MAX(ABS(G340-H340),ABS(H340-I340),ABS(I340-J340),ABS(J340-K340),ABS(K340-L340),ABS(L340-M340),ABS(M340-N340))&gt;40,1,0)</f>
        <v/>
      </c>
    </row>
    <row r="341">
      <c r="X341">
        <f>IF(COUNT(H341,I341,J341,L341)&lt;4,"",ROUND(AVERAGE(H341,I341,J341,L341),1))</f>
        <v/>
      </c>
      <c r="Y341">
        <f>IF(X341="","",IF(X341&lt;26,"normal",IF(X341&lt;41,"mild",IF(X341&lt;61,"moderate",IF(X341&lt;81,"severe","profound")))))</f>
        <v/>
      </c>
      <c r="Z341">
        <f>IF(X341="","",IF(OR(ABS(X341-25)&lt;=5,ABS(X341-40)&lt;=5,ABS(X341-60)&lt;=5,ABS(X341-80)&lt;=5),1,0))</f>
        <v/>
      </c>
      <c r="AA341">
        <f>IF(MAX(ABS(G341-H341),ABS(H341-I341),ABS(I341-J341),ABS(J341-K341),ABS(K341-L341),ABS(L341-M341),ABS(M341-N341))&gt;40,1,0)</f>
        <v/>
      </c>
    </row>
    <row r="342">
      <c r="X342">
        <f>IF(COUNT(H342,I342,J342,L342)&lt;4,"",ROUND(AVERAGE(H342,I342,J342,L342),1))</f>
        <v/>
      </c>
      <c r="Y342">
        <f>IF(X342="","",IF(X342&lt;26,"normal",IF(X342&lt;41,"mild",IF(X342&lt;61,"moderate",IF(X342&lt;81,"severe","profound")))))</f>
        <v/>
      </c>
      <c r="Z342">
        <f>IF(X342="","",IF(OR(ABS(X342-25)&lt;=5,ABS(X342-40)&lt;=5,ABS(X342-60)&lt;=5,ABS(X342-80)&lt;=5),1,0))</f>
        <v/>
      </c>
      <c r="AA342">
        <f>IF(MAX(ABS(G342-H342),ABS(H342-I342),ABS(I342-J342),ABS(J342-K342),ABS(K342-L342),ABS(L342-M342),ABS(M342-N342))&gt;40,1,0)</f>
        <v/>
      </c>
    </row>
    <row r="343">
      <c r="X343">
        <f>IF(COUNT(H343,I343,J343,L343)&lt;4,"",ROUND(AVERAGE(H343,I343,J343,L343),1))</f>
        <v/>
      </c>
      <c r="Y343">
        <f>IF(X343="","",IF(X343&lt;26,"normal",IF(X343&lt;41,"mild",IF(X343&lt;61,"moderate",IF(X343&lt;81,"severe","profound")))))</f>
        <v/>
      </c>
      <c r="Z343">
        <f>IF(X343="","",IF(OR(ABS(X343-25)&lt;=5,ABS(X343-40)&lt;=5,ABS(X343-60)&lt;=5,ABS(X343-80)&lt;=5),1,0))</f>
        <v/>
      </c>
      <c r="AA343">
        <f>IF(MAX(ABS(G343-H343),ABS(H343-I343),ABS(I343-J343),ABS(J343-K343),ABS(K343-L343),ABS(L343-M343),ABS(M343-N343))&gt;40,1,0)</f>
        <v/>
      </c>
    </row>
    <row r="344">
      <c r="X344">
        <f>IF(COUNT(H344,I344,J344,L344)&lt;4,"",ROUND(AVERAGE(H344,I344,J344,L344),1))</f>
        <v/>
      </c>
      <c r="Y344">
        <f>IF(X344="","",IF(X344&lt;26,"normal",IF(X344&lt;41,"mild",IF(X344&lt;61,"moderate",IF(X344&lt;81,"severe","profound")))))</f>
        <v/>
      </c>
      <c r="Z344">
        <f>IF(X344="","",IF(OR(ABS(X344-25)&lt;=5,ABS(X344-40)&lt;=5,ABS(X344-60)&lt;=5,ABS(X344-80)&lt;=5),1,0))</f>
        <v/>
      </c>
      <c r="AA344">
        <f>IF(MAX(ABS(G344-H344),ABS(H344-I344),ABS(I344-J344),ABS(J344-K344),ABS(K344-L344),ABS(L344-M344),ABS(M344-N344))&gt;40,1,0)</f>
        <v/>
      </c>
    </row>
    <row r="345">
      <c r="X345">
        <f>IF(COUNT(H345,I345,J345,L345)&lt;4,"",ROUND(AVERAGE(H345,I345,J345,L345),1))</f>
        <v/>
      </c>
      <c r="Y345">
        <f>IF(X345="","",IF(X345&lt;26,"normal",IF(X345&lt;41,"mild",IF(X345&lt;61,"moderate",IF(X345&lt;81,"severe","profound")))))</f>
        <v/>
      </c>
      <c r="Z345">
        <f>IF(X345="","",IF(OR(ABS(X345-25)&lt;=5,ABS(X345-40)&lt;=5,ABS(X345-60)&lt;=5,ABS(X345-80)&lt;=5),1,0))</f>
        <v/>
      </c>
      <c r="AA345">
        <f>IF(MAX(ABS(G345-H345),ABS(H345-I345),ABS(I345-J345),ABS(J345-K345),ABS(K345-L345),ABS(L345-M345),ABS(M345-N345))&gt;40,1,0)</f>
        <v/>
      </c>
    </row>
    <row r="346">
      <c r="X346">
        <f>IF(COUNT(H346,I346,J346,L346)&lt;4,"",ROUND(AVERAGE(H346,I346,J346,L346),1))</f>
        <v/>
      </c>
      <c r="Y346">
        <f>IF(X346="","",IF(X346&lt;26,"normal",IF(X346&lt;41,"mild",IF(X346&lt;61,"moderate",IF(X346&lt;81,"severe","profound")))))</f>
        <v/>
      </c>
      <c r="Z346">
        <f>IF(X346="","",IF(OR(ABS(X346-25)&lt;=5,ABS(X346-40)&lt;=5,ABS(X346-60)&lt;=5,ABS(X346-80)&lt;=5),1,0))</f>
        <v/>
      </c>
      <c r="AA346">
        <f>IF(MAX(ABS(G346-H346),ABS(H346-I346),ABS(I346-J346),ABS(J346-K346),ABS(K346-L346),ABS(L346-M346),ABS(M346-N346))&gt;40,1,0)</f>
        <v/>
      </c>
    </row>
    <row r="347">
      <c r="X347">
        <f>IF(COUNT(H347,I347,J347,L347)&lt;4,"",ROUND(AVERAGE(H347,I347,J347,L347),1))</f>
        <v/>
      </c>
      <c r="Y347">
        <f>IF(X347="","",IF(X347&lt;26,"normal",IF(X347&lt;41,"mild",IF(X347&lt;61,"moderate",IF(X347&lt;81,"severe","profound")))))</f>
        <v/>
      </c>
      <c r="Z347">
        <f>IF(X347="","",IF(OR(ABS(X347-25)&lt;=5,ABS(X347-40)&lt;=5,ABS(X347-60)&lt;=5,ABS(X347-80)&lt;=5),1,0))</f>
        <v/>
      </c>
      <c r="AA347">
        <f>IF(MAX(ABS(G347-H347),ABS(H347-I347),ABS(I347-J347),ABS(J347-K347),ABS(K347-L347),ABS(L347-M347),ABS(M347-N347))&gt;40,1,0)</f>
        <v/>
      </c>
    </row>
    <row r="348">
      <c r="X348">
        <f>IF(COUNT(H348,I348,J348,L348)&lt;4,"",ROUND(AVERAGE(H348,I348,J348,L348),1))</f>
        <v/>
      </c>
      <c r="Y348">
        <f>IF(X348="","",IF(X348&lt;26,"normal",IF(X348&lt;41,"mild",IF(X348&lt;61,"moderate",IF(X348&lt;81,"severe","profound")))))</f>
        <v/>
      </c>
      <c r="Z348">
        <f>IF(X348="","",IF(OR(ABS(X348-25)&lt;=5,ABS(X348-40)&lt;=5,ABS(X348-60)&lt;=5,ABS(X348-80)&lt;=5),1,0))</f>
        <v/>
      </c>
      <c r="AA348">
        <f>IF(MAX(ABS(G348-H348),ABS(H348-I348),ABS(I348-J348),ABS(J348-K348),ABS(K348-L348),ABS(L348-M348),ABS(M348-N348))&gt;40,1,0)</f>
        <v/>
      </c>
    </row>
    <row r="349">
      <c r="X349">
        <f>IF(COUNT(H349,I349,J349,L349)&lt;4,"",ROUND(AVERAGE(H349,I349,J349,L349),1))</f>
        <v/>
      </c>
      <c r="Y349">
        <f>IF(X349="","",IF(X349&lt;26,"normal",IF(X349&lt;41,"mild",IF(X349&lt;61,"moderate",IF(X349&lt;81,"severe","profound")))))</f>
        <v/>
      </c>
      <c r="Z349">
        <f>IF(X349="","",IF(OR(ABS(X349-25)&lt;=5,ABS(X349-40)&lt;=5,ABS(X349-60)&lt;=5,ABS(X349-80)&lt;=5),1,0))</f>
        <v/>
      </c>
      <c r="AA349">
        <f>IF(MAX(ABS(G349-H349),ABS(H349-I349),ABS(I349-J349),ABS(J349-K349),ABS(K349-L349),ABS(L349-M349),ABS(M349-N349))&gt;40,1,0)</f>
        <v/>
      </c>
    </row>
    <row r="350">
      <c r="X350">
        <f>IF(COUNT(H350,I350,J350,L350)&lt;4,"",ROUND(AVERAGE(H350,I350,J350,L350),1))</f>
        <v/>
      </c>
      <c r="Y350">
        <f>IF(X350="","",IF(X350&lt;26,"normal",IF(X350&lt;41,"mild",IF(X350&lt;61,"moderate",IF(X350&lt;81,"severe","profound")))))</f>
        <v/>
      </c>
      <c r="Z350">
        <f>IF(X350="","",IF(OR(ABS(X350-25)&lt;=5,ABS(X350-40)&lt;=5,ABS(X350-60)&lt;=5,ABS(X350-80)&lt;=5),1,0))</f>
        <v/>
      </c>
      <c r="AA350">
        <f>IF(MAX(ABS(G350-H350),ABS(H350-I350),ABS(I350-J350),ABS(J350-K350),ABS(K350-L350),ABS(L350-M350),ABS(M350-N350))&gt;40,1,0)</f>
        <v/>
      </c>
    </row>
    <row r="351">
      <c r="X351">
        <f>IF(COUNT(H351,I351,J351,L351)&lt;4,"",ROUND(AVERAGE(H351,I351,J351,L351),1))</f>
        <v/>
      </c>
      <c r="Y351">
        <f>IF(X351="","",IF(X351&lt;26,"normal",IF(X351&lt;41,"mild",IF(X351&lt;61,"moderate",IF(X351&lt;81,"severe","profound")))))</f>
        <v/>
      </c>
      <c r="Z351">
        <f>IF(X351="","",IF(OR(ABS(X351-25)&lt;=5,ABS(X351-40)&lt;=5,ABS(X351-60)&lt;=5,ABS(X351-80)&lt;=5),1,0))</f>
        <v/>
      </c>
      <c r="AA351">
        <f>IF(MAX(ABS(G351-H351),ABS(H351-I351),ABS(I351-J351),ABS(J351-K351),ABS(K351-L351),ABS(L351-M351),ABS(M351-N351))&gt;40,1,0)</f>
        <v/>
      </c>
    </row>
    <row r="352">
      <c r="X352">
        <f>IF(COUNT(H352,I352,J352,L352)&lt;4,"",ROUND(AVERAGE(H352,I352,J352,L352),1))</f>
        <v/>
      </c>
      <c r="Y352">
        <f>IF(X352="","",IF(X352&lt;26,"normal",IF(X352&lt;41,"mild",IF(X352&lt;61,"moderate",IF(X352&lt;81,"severe","profound")))))</f>
        <v/>
      </c>
      <c r="Z352">
        <f>IF(X352="","",IF(OR(ABS(X352-25)&lt;=5,ABS(X352-40)&lt;=5,ABS(X352-60)&lt;=5,ABS(X352-80)&lt;=5),1,0))</f>
        <v/>
      </c>
      <c r="AA352">
        <f>IF(MAX(ABS(G352-H352),ABS(H352-I352),ABS(I352-J352),ABS(J352-K352),ABS(K352-L352),ABS(L352-M352),ABS(M352-N352))&gt;40,1,0)</f>
        <v/>
      </c>
    </row>
    <row r="353">
      <c r="X353">
        <f>IF(COUNT(H353,I353,J353,L353)&lt;4,"",ROUND(AVERAGE(H353,I353,J353,L353),1))</f>
        <v/>
      </c>
      <c r="Y353">
        <f>IF(X353="","",IF(X353&lt;26,"normal",IF(X353&lt;41,"mild",IF(X353&lt;61,"moderate",IF(X353&lt;81,"severe","profound")))))</f>
        <v/>
      </c>
      <c r="Z353">
        <f>IF(X353="","",IF(OR(ABS(X353-25)&lt;=5,ABS(X353-40)&lt;=5,ABS(X353-60)&lt;=5,ABS(X353-80)&lt;=5),1,0))</f>
        <v/>
      </c>
      <c r="AA353">
        <f>IF(MAX(ABS(G353-H353),ABS(H353-I353),ABS(I353-J353),ABS(J353-K353),ABS(K353-L353),ABS(L353-M353),ABS(M353-N353))&gt;40,1,0)</f>
        <v/>
      </c>
    </row>
    <row r="354">
      <c r="X354">
        <f>IF(COUNT(H354,I354,J354,L354)&lt;4,"",ROUND(AVERAGE(H354,I354,J354,L354),1))</f>
        <v/>
      </c>
      <c r="Y354">
        <f>IF(X354="","",IF(X354&lt;26,"normal",IF(X354&lt;41,"mild",IF(X354&lt;61,"moderate",IF(X354&lt;81,"severe","profound")))))</f>
        <v/>
      </c>
      <c r="Z354">
        <f>IF(X354="","",IF(OR(ABS(X354-25)&lt;=5,ABS(X354-40)&lt;=5,ABS(X354-60)&lt;=5,ABS(X354-80)&lt;=5),1,0))</f>
        <v/>
      </c>
      <c r="AA354">
        <f>IF(MAX(ABS(G354-H354),ABS(H354-I354),ABS(I354-J354),ABS(J354-K354),ABS(K354-L354),ABS(L354-M354),ABS(M354-N354))&gt;40,1,0)</f>
        <v/>
      </c>
    </row>
    <row r="355">
      <c r="X355">
        <f>IF(COUNT(H355,I355,J355,L355)&lt;4,"",ROUND(AVERAGE(H355,I355,J355,L355),1))</f>
        <v/>
      </c>
      <c r="Y355">
        <f>IF(X355="","",IF(X355&lt;26,"normal",IF(X355&lt;41,"mild",IF(X355&lt;61,"moderate",IF(X355&lt;81,"severe","profound")))))</f>
        <v/>
      </c>
      <c r="Z355">
        <f>IF(X355="","",IF(OR(ABS(X355-25)&lt;=5,ABS(X355-40)&lt;=5,ABS(X355-60)&lt;=5,ABS(X355-80)&lt;=5),1,0))</f>
        <v/>
      </c>
      <c r="AA355">
        <f>IF(MAX(ABS(G355-H355),ABS(H355-I355),ABS(I355-J355),ABS(J355-K355),ABS(K355-L355),ABS(L355-M355),ABS(M355-N355))&gt;40,1,0)</f>
        <v/>
      </c>
    </row>
    <row r="356">
      <c r="X356">
        <f>IF(COUNT(H356,I356,J356,L356)&lt;4,"",ROUND(AVERAGE(H356,I356,J356,L356),1))</f>
        <v/>
      </c>
      <c r="Y356">
        <f>IF(X356="","",IF(X356&lt;26,"normal",IF(X356&lt;41,"mild",IF(X356&lt;61,"moderate",IF(X356&lt;81,"severe","profound")))))</f>
        <v/>
      </c>
      <c r="Z356">
        <f>IF(X356="","",IF(OR(ABS(X356-25)&lt;=5,ABS(X356-40)&lt;=5,ABS(X356-60)&lt;=5,ABS(X356-80)&lt;=5),1,0))</f>
        <v/>
      </c>
      <c r="AA356">
        <f>IF(MAX(ABS(G356-H356),ABS(H356-I356),ABS(I356-J356),ABS(J356-K356),ABS(K356-L356),ABS(L356-M356),ABS(M356-N356))&gt;40,1,0)</f>
        <v/>
      </c>
    </row>
    <row r="357">
      <c r="X357">
        <f>IF(COUNT(H357,I357,J357,L357)&lt;4,"",ROUND(AVERAGE(H357,I357,J357,L357),1))</f>
        <v/>
      </c>
      <c r="Y357">
        <f>IF(X357="","",IF(X357&lt;26,"normal",IF(X357&lt;41,"mild",IF(X357&lt;61,"moderate",IF(X357&lt;81,"severe","profound")))))</f>
        <v/>
      </c>
      <c r="Z357">
        <f>IF(X357="","",IF(OR(ABS(X357-25)&lt;=5,ABS(X357-40)&lt;=5,ABS(X357-60)&lt;=5,ABS(X357-80)&lt;=5),1,0))</f>
        <v/>
      </c>
      <c r="AA357">
        <f>IF(MAX(ABS(G357-H357),ABS(H357-I357),ABS(I357-J357),ABS(J357-K357),ABS(K357-L357),ABS(L357-M357),ABS(M357-N357))&gt;40,1,0)</f>
        <v/>
      </c>
    </row>
    <row r="358">
      <c r="X358">
        <f>IF(COUNT(H358,I358,J358,L358)&lt;4,"",ROUND(AVERAGE(H358,I358,J358,L358),1))</f>
        <v/>
      </c>
      <c r="Y358">
        <f>IF(X358="","",IF(X358&lt;26,"normal",IF(X358&lt;41,"mild",IF(X358&lt;61,"moderate",IF(X358&lt;81,"severe","profound")))))</f>
        <v/>
      </c>
      <c r="Z358">
        <f>IF(X358="","",IF(OR(ABS(X358-25)&lt;=5,ABS(X358-40)&lt;=5,ABS(X358-60)&lt;=5,ABS(X358-80)&lt;=5),1,0))</f>
        <v/>
      </c>
      <c r="AA358">
        <f>IF(MAX(ABS(G358-H358),ABS(H358-I358),ABS(I358-J358),ABS(J358-K358),ABS(K358-L358),ABS(L358-M358),ABS(M358-N358))&gt;40,1,0)</f>
        <v/>
      </c>
    </row>
    <row r="359">
      <c r="X359">
        <f>IF(COUNT(H359,I359,J359,L359)&lt;4,"",ROUND(AVERAGE(H359,I359,J359,L359),1))</f>
        <v/>
      </c>
      <c r="Y359">
        <f>IF(X359="","",IF(X359&lt;26,"normal",IF(X359&lt;41,"mild",IF(X359&lt;61,"moderate",IF(X359&lt;81,"severe","profound")))))</f>
        <v/>
      </c>
      <c r="Z359">
        <f>IF(X359="","",IF(OR(ABS(X359-25)&lt;=5,ABS(X359-40)&lt;=5,ABS(X359-60)&lt;=5,ABS(X359-80)&lt;=5),1,0))</f>
        <v/>
      </c>
      <c r="AA359">
        <f>IF(MAX(ABS(G359-H359),ABS(H359-I359),ABS(I359-J359),ABS(J359-K359),ABS(K359-L359),ABS(L359-M359),ABS(M359-N359))&gt;40,1,0)</f>
        <v/>
      </c>
    </row>
    <row r="360">
      <c r="X360">
        <f>IF(COUNT(H360,I360,J360,L360)&lt;4,"",ROUND(AVERAGE(H360,I360,J360,L360),1))</f>
        <v/>
      </c>
      <c r="Y360">
        <f>IF(X360="","",IF(X360&lt;26,"normal",IF(X360&lt;41,"mild",IF(X360&lt;61,"moderate",IF(X360&lt;81,"severe","profound")))))</f>
        <v/>
      </c>
      <c r="Z360">
        <f>IF(X360="","",IF(OR(ABS(X360-25)&lt;=5,ABS(X360-40)&lt;=5,ABS(X360-60)&lt;=5,ABS(X360-80)&lt;=5),1,0))</f>
        <v/>
      </c>
      <c r="AA360">
        <f>IF(MAX(ABS(G360-H360),ABS(H360-I360),ABS(I360-J360),ABS(J360-K360),ABS(K360-L360),ABS(L360-M360),ABS(M360-N360))&gt;40,1,0)</f>
        <v/>
      </c>
    </row>
    <row r="361">
      <c r="X361">
        <f>IF(COUNT(H361,I361,J361,L361)&lt;4,"",ROUND(AVERAGE(H361,I361,J361,L361),1))</f>
        <v/>
      </c>
      <c r="Y361">
        <f>IF(X361="","",IF(X361&lt;26,"normal",IF(X361&lt;41,"mild",IF(X361&lt;61,"moderate",IF(X361&lt;81,"severe","profound")))))</f>
        <v/>
      </c>
      <c r="Z361">
        <f>IF(X361="","",IF(OR(ABS(X361-25)&lt;=5,ABS(X361-40)&lt;=5,ABS(X361-60)&lt;=5,ABS(X361-80)&lt;=5),1,0))</f>
        <v/>
      </c>
      <c r="AA361">
        <f>IF(MAX(ABS(G361-H361),ABS(H361-I361),ABS(I361-J361),ABS(J361-K361),ABS(K361-L361),ABS(L361-M361),ABS(M361-N361))&gt;40,1,0)</f>
        <v/>
      </c>
    </row>
    <row r="362">
      <c r="X362">
        <f>IF(COUNT(H362,I362,J362,L362)&lt;4,"",ROUND(AVERAGE(H362,I362,J362,L362),1))</f>
        <v/>
      </c>
      <c r="Y362">
        <f>IF(X362="","",IF(X362&lt;26,"normal",IF(X362&lt;41,"mild",IF(X362&lt;61,"moderate",IF(X362&lt;81,"severe","profound")))))</f>
        <v/>
      </c>
      <c r="Z362">
        <f>IF(X362="","",IF(OR(ABS(X362-25)&lt;=5,ABS(X362-40)&lt;=5,ABS(X362-60)&lt;=5,ABS(X362-80)&lt;=5),1,0))</f>
        <v/>
      </c>
      <c r="AA362">
        <f>IF(MAX(ABS(G362-H362),ABS(H362-I362),ABS(I362-J362),ABS(J362-K362),ABS(K362-L362),ABS(L362-M362),ABS(M362-N362))&gt;40,1,0)</f>
        <v/>
      </c>
    </row>
    <row r="363">
      <c r="X363">
        <f>IF(COUNT(H363,I363,J363,L363)&lt;4,"",ROUND(AVERAGE(H363,I363,J363,L363),1))</f>
        <v/>
      </c>
      <c r="Y363">
        <f>IF(X363="","",IF(X363&lt;26,"normal",IF(X363&lt;41,"mild",IF(X363&lt;61,"moderate",IF(X363&lt;81,"severe","profound")))))</f>
        <v/>
      </c>
      <c r="Z363">
        <f>IF(X363="","",IF(OR(ABS(X363-25)&lt;=5,ABS(X363-40)&lt;=5,ABS(X363-60)&lt;=5,ABS(X363-80)&lt;=5),1,0))</f>
        <v/>
      </c>
      <c r="AA363">
        <f>IF(MAX(ABS(G363-H363),ABS(H363-I363),ABS(I363-J363),ABS(J363-K363),ABS(K363-L363),ABS(L363-M363),ABS(M363-N363))&gt;40,1,0)</f>
        <v/>
      </c>
    </row>
    <row r="364">
      <c r="X364">
        <f>IF(COUNT(H364,I364,J364,L364)&lt;4,"",ROUND(AVERAGE(H364,I364,J364,L364),1))</f>
        <v/>
      </c>
      <c r="Y364">
        <f>IF(X364="","",IF(X364&lt;26,"normal",IF(X364&lt;41,"mild",IF(X364&lt;61,"moderate",IF(X364&lt;81,"severe","profound")))))</f>
        <v/>
      </c>
      <c r="Z364">
        <f>IF(X364="","",IF(OR(ABS(X364-25)&lt;=5,ABS(X364-40)&lt;=5,ABS(X364-60)&lt;=5,ABS(X364-80)&lt;=5),1,0))</f>
        <v/>
      </c>
      <c r="AA364">
        <f>IF(MAX(ABS(G364-H364),ABS(H364-I364),ABS(I364-J364),ABS(J364-K364),ABS(K364-L364),ABS(L364-M364),ABS(M364-N364))&gt;40,1,0)</f>
        <v/>
      </c>
    </row>
    <row r="365">
      <c r="X365">
        <f>IF(COUNT(H365,I365,J365,L365)&lt;4,"",ROUND(AVERAGE(H365,I365,J365,L365),1))</f>
        <v/>
      </c>
      <c r="Y365">
        <f>IF(X365="","",IF(X365&lt;26,"normal",IF(X365&lt;41,"mild",IF(X365&lt;61,"moderate",IF(X365&lt;81,"severe","profound")))))</f>
        <v/>
      </c>
      <c r="Z365">
        <f>IF(X365="","",IF(OR(ABS(X365-25)&lt;=5,ABS(X365-40)&lt;=5,ABS(X365-60)&lt;=5,ABS(X365-80)&lt;=5),1,0))</f>
        <v/>
      </c>
      <c r="AA365">
        <f>IF(MAX(ABS(G365-H365),ABS(H365-I365),ABS(I365-J365),ABS(J365-K365),ABS(K365-L365),ABS(L365-M365),ABS(M365-N365))&gt;40,1,0)</f>
        <v/>
      </c>
    </row>
    <row r="366">
      <c r="X366">
        <f>IF(COUNT(H366,I366,J366,L366)&lt;4,"",ROUND(AVERAGE(H366,I366,J366,L366),1))</f>
        <v/>
      </c>
      <c r="Y366">
        <f>IF(X366="","",IF(X366&lt;26,"normal",IF(X366&lt;41,"mild",IF(X366&lt;61,"moderate",IF(X366&lt;81,"severe","profound")))))</f>
        <v/>
      </c>
      <c r="Z366">
        <f>IF(X366="","",IF(OR(ABS(X366-25)&lt;=5,ABS(X366-40)&lt;=5,ABS(X366-60)&lt;=5,ABS(X366-80)&lt;=5),1,0))</f>
        <v/>
      </c>
      <c r="AA366">
        <f>IF(MAX(ABS(G366-H366),ABS(H366-I366),ABS(I366-J366),ABS(J366-K366),ABS(K366-L366),ABS(L366-M366),ABS(M366-N366))&gt;40,1,0)</f>
        <v/>
      </c>
    </row>
    <row r="367">
      <c r="X367">
        <f>IF(COUNT(H367,I367,J367,L367)&lt;4,"",ROUND(AVERAGE(H367,I367,J367,L367),1))</f>
        <v/>
      </c>
      <c r="Y367">
        <f>IF(X367="","",IF(X367&lt;26,"normal",IF(X367&lt;41,"mild",IF(X367&lt;61,"moderate",IF(X367&lt;81,"severe","profound")))))</f>
        <v/>
      </c>
      <c r="Z367">
        <f>IF(X367="","",IF(OR(ABS(X367-25)&lt;=5,ABS(X367-40)&lt;=5,ABS(X367-60)&lt;=5,ABS(X367-80)&lt;=5),1,0))</f>
        <v/>
      </c>
      <c r="AA367">
        <f>IF(MAX(ABS(G367-H367),ABS(H367-I367),ABS(I367-J367),ABS(J367-K367),ABS(K367-L367),ABS(L367-M367),ABS(M367-N367))&gt;40,1,0)</f>
        <v/>
      </c>
    </row>
    <row r="368">
      <c r="X368">
        <f>IF(COUNT(H368,I368,J368,L368)&lt;4,"",ROUND(AVERAGE(H368,I368,J368,L368),1))</f>
        <v/>
      </c>
      <c r="Y368">
        <f>IF(X368="","",IF(X368&lt;26,"normal",IF(X368&lt;41,"mild",IF(X368&lt;61,"moderate",IF(X368&lt;81,"severe","profound")))))</f>
        <v/>
      </c>
      <c r="Z368">
        <f>IF(X368="","",IF(OR(ABS(X368-25)&lt;=5,ABS(X368-40)&lt;=5,ABS(X368-60)&lt;=5,ABS(X368-80)&lt;=5),1,0))</f>
        <v/>
      </c>
      <c r="AA368">
        <f>IF(MAX(ABS(G368-H368),ABS(H368-I368),ABS(I368-J368),ABS(J368-K368),ABS(K368-L368),ABS(L368-M368),ABS(M368-N368))&gt;40,1,0)</f>
        <v/>
      </c>
    </row>
    <row r="369">
      <c r="X369">
        <f>IF(COUNT(H369,I369,J369,L369)&lt;4,"",ROUND(AVERAGE(H369,I369,J369,L369),1))</f>
        <v/>
      </c>
      <c r="Y369">
        <f>IF(X369="","",IF(X369&lt;26,"normal",IF(X369&lt;41,"mild",IF(X369&lt;61,"moderate",IF(X369&lt;81,"severe","profound")))))</f>
        <v/>
      </c>
      <c r="Z369">
        <f>IF(X369="","",IF(OR(ABS(X369-25)&lt;=5,ABS(X369-40)&lt;=5,ABS(X369-60)&lt;=5,ABS(X369-80)&lt;=5),1,0))</f>
        <v/>
      </c>
      <c r="AA369">
        <f>IF(MAX(ABS(G369-H369),ABS(H369-I369),ABS(I369-J369),ABS(J369-K369),ABS(K369-L369),ABS(L369-M369),ABS(M369-N369))&gt;40,1,0)</f>
        <v/>
      </c>
    </row>
    <row r="370">
      <c r="X370">
        <f>IF(COUNT(H370,I370,J370,L370)&lt;4,"",ROUND(AVERAGE(H370,I370,J370,L370),1))</f>
        <v/>
      </c>
      <c r="Y370">
        <f>IF(X370="","",IF(X370&lt;26,"normal",IF(X370&lt;41,"mild",IF(X370&lt;61,"moderate",IF(X370&lt;81,"severe","profound")))))</f>
        <v/>
      </c>
      <c r="Z370">
        <f>IF(X370="","",IF(OR(ABS(X370-25)&lt;=5,ABS(X370-40)&lt;=5,ABS(X370-60)&lt;=5,ABS(X370-80)&lt;=5),1,0))</f>
        <v/>
      </c>
      <c r="AA370">
        <f>IF(MAX(ABS(G370-H370),ABS(H370-I370),ABS(I370-J370),ABS(J370-K370),ABS(K370-L370),ABS(L370-M370),ABS(M370-N370))&gt;40,1,0)</f>
        <v/>
      </c>
    </row>
    <row r="371">
      <c r="X371">
        <f>IF(COUNT(H371,I371,J371,L371)&lt;4,"",ROUND(AVERAGE(H371,I371,J371,L371),1))</f>
        <v/>
      </c>
      <c r="Y371">
        <f>IF(X371="","",IF(X371&lt;26,"normal",IF(X371&lt;41,"mild",IF(X371&lt;61,"moderate",IF(X371&lt;81,"severe","profound")))))</f>
        <v/>
      </c>
      <c r="Z371">
        <f>IF(X371="","",IF(OR(ABS(X371-25)&lt;=5,ABS(X371-40)&lt;=5,ABS(X371-60)&lt;=5,ABS(X371-80)&lt;=5),1,0))</f>
        <v/>
      </c>
      <c r="AA371">
        <f>IF(MAX(ABS(G371-H371),ABS(H371-I371),ABS(I371-J371),ABS(J371-K371),ABS(K371-L371),ABS(L371-M371),ABS(M371-N371))&gt;40,1,0)</f>
        <v/>
      </c>
    </row>
    <row r="372">
      <c r="X372">
        <f>IF(COUNT(H372,I372,J372,L372)&lt;4,"",ROUND(AVERAGE(H372,I372,J372,L372),1))</f>
        <v/>
      </c>
      <c r="Y372">
        <f>IF(X372="","",IF(X372&lt;26,"normal",IF(X372&lt;41,"mild",IF(X372&lt;61,"moderate",IF(X372&lt;81,"severe","profound")))))</f>
        <v/>
      </c>
      <c r="Z372">
        <f>IF(X372="","",IF(OR(ABS(X372-25)&lt;=5,ABS(X372-40)&lt;=5,ABS(X372-60)&lt;=5,ABS(X372-80)&lt;=5),1,0))</f>
        <v/>
      </c>
      <c r="AA372">
        <f>IF(MAX(ABS(G372-H372),ABS(H372-I372),ABS(I372-J372),ABS(J372-K372),ABS(K372-L372),ABS(L372-M372),ABS(M372-N372))&gt;40,1,0)</f>
        <v/>
      </c>
    </row>
    <row r="373">
      <c r="X373">
        <f>IF(COUNT(H373,I373,J373,L373)&lt;4,"",ROUND(AVERAGE(H373,I373,J373,L373),1))</f>
        <v/>
      </c>
      <c r="Y373">
        <f>IF(X373="","",IF(X373&lt;26,"normal",IF(X373&lt;41,"mild",IF(X373&lt;61,"moderate",IF(X373&lt;81,"severe","profound")))))</f>
        <v/>
      </c>
      <c r="Z373">
        <f>IF(X373="","",IF(OR(ABS(X373-25)&lt;=5,ABS(X373-40)&lt;=5,ABS(X373-60)&lt;=5,ABS(X373-80)&lt;=5),1,0))</f>
        <v/>
      </c>
      <c r="AA373">
        <f>IF(MAX(ABS(G373-H373),ABS(H373-I373),ABS(I373-J373),ABS(J373-K373),ABS(K373-L373),ABS(L373-M373),ABS(M373-N373))&gt;40,1,0)</f>
        <v/>
      </c>
    </row>
    <row r="374">
      <c r="X374">
        <f>IF(COUNT(H374,I374,J374,L374)&lt;4,"",ROUND(AVERAGE(H374,I374,J374,L374),1))</f>
        <v/>
      </c>
      <c r="Y374">
        <f>IF(X374="","",IF(X374&lt;26,"normal",IF(X374&lt;41,"mild",IF(X374&lt;61,"moderate",IF(X374&lt;81,"severe","profound")))))</f>
        <v/>
      </c>
      <c r="Z374">
        <f>IF(X374="","",IF(OR(ABS(X374-25)&lt;=5,ABS(X374-40)&lt;=5,ABS(X374-60)&lt;=5,ABS(X374-80)&lt;=5),1,0))</f>
        <v/>
      </c>
      <c r="AA374">
        <f>IF(MAX(ABS(G374-H374),ABS(H374-I374),ABS(I374-J374),ABS(J374-K374),ABS(K374-L374),ABS(L374-M374),ABS(M374-N374))&gt;40,1,0)</f>
        <v/>
      </c>
    </row>
    <row r="375">
      <c r="X375">
        <f>IF(COUNT(H375,I375,J375,L375)&lt;4,"",ROUND(AVERAGE(H375,I375,J375,L375),1))</f>
        <v/>
      </c>
      <c r="Y375">
        <f>IF(X375="","",IF(X375&lt;26,"normal",IF(X375&lt;41,"mild",IF(X375&lt;61,"moderate",IF(X375&lt;81,"severe","profound")))))</f>
        <v/>
      </c>
      <c r="Z375">
        <f>IF(X375="","",IF(OR(ABS(X375-25)&lt;=5,ABS(X375-40)&lt;=5,ABS(X375-60)&lt;=5,ABS(X375-80)&lt;=5),1,0))</f>
        <v/>
      </c>
      <c r="AA375">
        <f>IF(MAX(ABS(G375-H375),ABS(H375-I375),ABS(I375-J375),ABS(J375-K375),ABS(K375-L375),ABS(L375-M375),ABS(M375-N375))&gt;40,1,0)</f>
        <v/>
      </c>
    </row>
    <row r="376">
      <c r="X376">
        <f>IF(COUNT(H376,I376,J376,L376)&lt;4,"",ROUND(AVERAGE(H376,I376,J376,L376),1))</f>
        <v/>
      </c>
      <c r="Y376">
        <f>IF(X376="","",IF(X376&lt;26,"normal",IF(X376&lt;41,"mild",IF(X376&lt;61,"moderate",IF(X376&lt;81,"severe","profound")))))</f>
        <v/>
      </c>
      <c r="Z376">
        <f>IF(X376="","",IF(OR(ABS(X376-25)&lt;=5,ABS(X376-40)&lt;=5,ABS(X376-60)&lt;=5,ABS(X376-80)&lt;=5),1,0))</f>
        <v/>
      </c>
      <c r="AA376">
        <f>IF(MAX(ABS(G376-H376),ABS(H376-I376),ABS(I376-J376),ABS(J376-K376),ABS(K376-L376),ABS(L376-M376),ABS(M376-N376))&gt;40,1,0)</f>
        <v/>
      </c>
    </row>
    <row r="377">
      <c r="X377">
        <f>IF(COUNT(H377,I377,J377,L377)&lt;4,"",ROUND(AVERAGE(H377,I377,J377,L377),1))</f>
        <v/>
      </c>
      <c r="Y377">
        <f>IF(X377="","",IF(X377&lt;26,"normal",IF(X377&lt;41,"mild",IF(X377&lt;61,"moderate",IF(X377&lt;81,"severe","profound")))))</f>
        <v/>
      </c>
      <c r="Z377">
        <f>IF(X377="","",IF(OR(ABS(X377-25)&lt;=5,ABS(X377-40)&lt;=5,ABS(X377-60)&lt;=5,ABS(X377-80)&lt;=5),1,0))</f>
        <v/>
      </c>
      <c r="AA377">
        <f>IF(MAX(ABS(G377-H377),ABS(H377-I377),ABS(I377-J377),ABS(J377-K377),ABS(K377-L377),ABS(L377-M377),ABS(M377-N377))&gt;40,1,0)</f>
        <v/>
      </c>
    </row>
    <row r="378">
      <c r="X378">
        <f>IF(COUNT(H378,I378,J378,L378)&lt;4,"",ROUND(AVERAGE(H378,I378,J378,L378),1))</f>
        <v/>
      </c>
      <c r="Y378">
        <f>IF(X378="","",IF(X378&lt;26,"normal",IF(X378&lt;41,"mild",IF(X378&lt;61,"moderate",IF(X378&lt;81,"severe","profound")))))</f>
        <v/>
      </c>
      <c r="Z378">
        <f>IF(X378="","",IF(OR(ABS(X378-25)&lt;=5,ABS(X378-40)&lt;=5,ABS(X378-60)&lt;=5,ABS(X378-80)&lt;=5),1,0))</f>
        <v/>
      </c>
      <c r="AA378">
        <f>IF(MAX(ABS(G378-H378),ABS(H378-I378),ABS(I378-J378),ABS(J378-K378),ABS(K378-L378),ABS(L378-M378),ABS(M378-N378))&gt;40,1,0)</f>
        <v/>
      </c>
    </row>
    <row r="379">
      <c r="X379">
        <f>IF(COUNT(H379,I379,J379,L379)&lt;4,"",ROUND(AVERAGE(H379,I379,J379,L379),1))</f>
        <v/>
      </c>
      <c r="Y379">
        <f>IF(X379="","",IF(X379&lt;26,"normal",IF(X379&lt;41,"mild",IF(X379&lt;61,"moderate",IF(X379&lt;81,"severe","profound")))))</f>
        <v/>
      </c>
      <c r="Z379">
        <f>IF(X379="","",IF(OR(ABS(X379-25)&lt;=5,ABS(X379-40)&lt;=5,ABS(X379-60)&lt;=5,ABS(X379-80)&lt;=5),1,0))</f>
        <v/>
      </c>
      <c r="AA379">
        <f>IF(MAX(ABS(G379-H379),ABS(H379-I379),ABS(I379-J379),ABS(J379-K379),ABS(K379-L379),ABS(L379-M379),ABS(M379-N379))&gt;40,1,0)</f>
        <v/>
      </c>
    </row>
    <row r="380">
      <c r="X380">
        <f>IF(COUNT(H380,I380,J380,L380)&lt;4,"",ROUND(AVERAGE(H380,I380,J380,L380),1))</f>
        <v/>
      </c>
      <c r="Y380">
        <f>IF(X380="","",IF(X380&lt;26,"normal",IF(X380&lt;41,"mild",IF(X380&lt;61,"moderate",IF(X380&lt;81,"severe","profound")))))</f>
        <v/>
      </c>
      <c r="Z380">
        <f>IF(X380="","",IF(OR(ABS(X380-25)&lt;=5,ABS(X380-40)&lt;=5,ABS(X380-60)&lt;=5,ABS(X380-80)&lt;=5),1,0))</f>
        <v/>
      </c>
      <c r="AA380">
        <f>IF(MAX(ABS(G380-H380),ABS(H380-I380),ABS(I380-J380),ABS(J380-K380),ABS(K380-L380),ABS(L380-M380),ABS(M380-N380))&gt;40,1,0)</f>
        <v/>
      </c>
    </row>
    <row r="381">
      <c r="X381">
        <f>IF(COUNT(H381,I381,J381,L381)&lt;4,"",ROUND(AVERAGE(H381,I381,J381,L381),1))</f>
        <v/>
      </c>
      <c r="Y381">
        <f>IF(X381="","",IF(X381&lt;26,"normal",IF(X381&lt;41,"mild",IF(X381&lt;61,"moderate",IF(X381&lt;81,"severe","profound")))))</f>
        <v/>
      </c>
      <c r="Z381">
        <f>IF(X381="","",IF(OR(ABS(X381-25)&lt;=5,ABS(X381-40)&lt;=5,ABS(X381-60)&lt;=5,ABS(X381-80)&lt;=5),1,0))</f>
        <v/>
      </c>
      <c r="AA381">
        <f>IF(MAX(ABS(G381-H381),ABS(H381-I381),ABS(I381-J381),ABS(J381-K381),ABS(K381-L381),ABS(L381-M381),ABS(M381-N381))&gt;40,1,0)</f>
        <v/>
      </c>
    </row>
    <row r="382">
      <c r="X382">
        <f>IF(COUNT(H382,I382,J382,L382)&lt;4,"",ROUND(AVERAGE(H382,I382,J382,L382),1))</f>
        <v/>
      </c>
      <c r="Y382">
        <f>IF(X382="","",IF(X382&lt;26,"normal",IF(X382&lt;41,"mild",IF(X382&lt;61,"moderate",IF(X382&lt;81,"severe","profound")))))</f>
        <v/>
      </c>
      <c r="Z382">
        <f>IF(X382="","",IF(OR(ABS(X382-25)&lt;=5,ABS(X382-40)&lt;=5,ABS(X382-60)&lt;=5,ABS(X382-80)&lt;=5),1,0))</f>
        <v/>
      </c>
      <c r="AA382">
        <f>IF(MAX(ABS(G382-H382),ABS(H382-I382),ABS(I382-J382),ABS(J382-K382),ABS(K382-L382),ABS(L382-M382),ABS(M382-N382))&gt;40,1,0)</f>
        <v/>
      </c>
    </row>
    <row r="383">
      <c r="X383">
        <f>IF(COUNT(H383,I383,J383,L383)&lt;4,"",ROUND(AVERAGE(H383,I383,J383,L383),1))</f>
        <v/>
      </c>
      <c r="Y383">
        <f>IF(X383="","",IF(X383&lt;26,"normal",IF(X383&lt;41,"mild",IF(X383&lt;61,"moderate",IF(X383&lt;81,"severe","profound")))))</f>
        <v/>
      </c>
      <c r="Z383">
        <f>IF(X383="","",IF(OR(ABS(X383-25)&lt;=5,ABS(X383-40)&lt;=5,ABS(X383-60)&lt;=5,ABS(X383-80)&lt;=5),1,0))</f>
        <v/>
      </c>
      <c r="AA383">
        <f>IF(MAX(ABS(G383-H383),ABS(H383-I383),ABS(I383-J383),ABS(J383-K383),ABS(K383-L383),ABS(L383-M383),ABS(M383-N383))&gt;40,1,0)</f>
        <v/>
      </c>
    </row>
    <row r="384">
      <c r="X384">
        <f>IF(COUNT(H384,I384,J384,L384)&lt;4,"",ROUND(AVERAGE(H384,I384,J384,L384),1))</f>
        <v/>
      </c>
      <c r="Y384">
        <f>IF(X384="","",IF(X384&lt;26,"normal",IF(X384&lt;41,"mild",IF(X384&lt;61,"moderate",IF(X384&lt;81,"severe","profound")))))</f>
        <v/>
      </c>
      <c r="Z384">
        <f>IF(X384="","",IF(OR(ABS(X384-25)&lt;=5,ABS(X384-40)&lt;=5,ABS(X384-60)&lt;=5,ABS(X384-80)&lt;=5),1,0))</f>
        <v/>
      </c>
      <c r="AA384">
        <f>IF(MAX(ABS(G384-H384),ABS(H384-I384),ABS(I384-J384),ABS(J384-K384),ABS(K384-L384),ABS(L384-M384),ABS(M384-N384))&gt;40,1,0)</f>
        <v/>
      </c>
    </row>
    <row r="385">
      <c r="X385">
        <f>IF(COUNT(H385,I385,J385,L385)&lt;4,"",ROUND(AVERAGE(H385,I385,J385,L385),1))</f>
        <v/>
      </c>
      <c r="Y385">
        <f>IF(X385="","",IF(X385&lt;26,"normal",IF(X385&lt;41,"mild",IF(X385&lt;61,"moderate",IF(X385&lt;81,"severe","profound")))))</f>
        <v/>
      </c>
      <c r="Z385">
        <f>IF(X385="","",IF(OR(ABS(X385-25)&lt;=5,ABS(X385-40)&lt;=5,ABS(X385-60)&lt;=5,ABS(X385-80)&lt;=5),1,0))</f>
        <v/>
      </c>
      <c r="AA385">
        <f>IF(MAX(ABS(G385-H385),ABS(H385-I385),ABS(I385-J385),ABS(J385-K385),ABS(K385-L385),ABS(L385-M385),ABS(M385-N385))&gt;40,1,0)</f>
        <v/>
      </c>
    </row>
    <row r="386">
      <c r="X386">
        <f>IF(COUNT(H386,I386,J386,L386)&lt;4,"",ROUND(AVERAGE(H386,I386,J386,L386),1))</f>
        <v/>
      </c>
      <c r="Y386">
        <f>IF(X386="","",IF(X386&lt;26,"normal",IF(X386&lt;41,"mild",IF(X386&lt;61,"moderate",IF(X386&lt;81,"severe","profound")))))</f>
        <v/>
      </c>
      <c r="Z386">
        <f>IF(X386="","",IF(OR(ABS(X386-25)&lt;=5,ABS(X386-40)&lt;=5,ABS(X386-60)&lt;=5,ABS(X386-80)&lt;=5),1,0))</f>
        <v/>
      </c>
      <c r="AA386">
        <f>IF(MAX(ABS(G386-H386),ABS(H386-I386),ABS(I386-J386),ABS(J386-K386),ABS(K386-L386),ABS(L386-M386),ABS(M386-N386))&gt;40,1,0)</f>
        <v/>
      </c>
    </row>
    <row r="387">
      <c r="X387">
        <f>IF(COUNT(H387,I387,J387,L387)&lt;4,"",ROUND(AVERAGE(H387,I387,J387,L387),1))</f>
        <v/>
      </c>
      <c r="Y387">
        <f>IF(X387="","",IF(X387&lt;26,"normal",IF(X387&lt;41,"mild",IF(X387&lt;61,"moderate",IF(X387&lt;81,"severe","profound")))))</f>
        <v/>
      </c>
      <c r="Z387">
        <f>IF(X387="","",IF(OR(ABS(X387-25)&lt;=5,ABS(X387-40)&lt;=5,ABS(X387-60)&lt;=5,ABS(X387-80)&lt;=5),1,0))</f>
        <v/>
      </c>
      <c r="AA387">
        <f>IF(MAX(ABS(G387-H387),ABS(H387-I387),ABS(I387-J387),ABS(J387-K387),ABS(K387-L387),ABS(L387-M387),ABS(M387-N387))&gt;40,1,0)</f>
        <v/>
      </c>
    </row>
    <row r="388">
      <c r="X388">
        <f>IF(COUNT(H388,I388,J388,L388)&lt;4,"",ROUND(AVERAGE(H388,I388,J388,L388),1))</f>
        <v/>
      </c>
      <c r="Y388">
        <f>IF(X388="","",IF(X388&lt;26,"normal",IF(X388&lt;41,"mild",IF(X388&lt;61,"moderate",IF(X388&lt;81,"severe","profound")))))</f>
        <v/>
      </c>
      <c r="Z388">
        <f>IF(X388="","",IF(OR(ABS(X388-25)&lt;=5,ABS(X388-40)&lt;=5,ABS(X388-60)&lt;=5,ABS(X388-80)&lt;=5),1,0))</f>
        <v/>
      </c>
      <c r="AA388">
        <f>IF(MAX(ABS(G388-H388),ABS(H388-I388),ABS(I388-J388),ABS(J388-K388),ABS(K388-L388),ABS(L388-M388),ABS(M388-N388))&gt;40,1,0)</f>
        <v/>
      </c>
    </row>
    <row r="389">
      <c r="X389">
        <f>IF(COUNT(H389,I389,J389,L389)&lt;4,"",ROUND(AVERAGE(H389,I389,J389,L389),1))</f>
        <v/>
      </c>
      <c r="Y389">
        <f>IF(X389="","",IF(X389&lt;26,"normal",IF(X389&lt;41,"mild",IF(X389&lt;61,"moderate",IF(X389&lt;81,"severe","profound")))))</f>
        <v/>
      </c>
      <c r="Z389">
        <f>IF(X389="","",IF(OR(ABS(X389-25)&lt;=5,ABS(X389-40)&lt;=5,ABS(X389-60)&lt;=5,ABS(X389-80)&lt;=5),1,0))</f>
        <v/>
      </c>
      <c r="AA389">
        <f>IF(MAX(ABS(G389-H389),ABS(H389-I389),ABS(I389-J389),ABS(J389-K389),ABS(K389-L389),ABS(L389-M389),ABS(M389-N389))&gt;40,1,0)</f>
        <v/>
      </c>
    </row>
    <row r="390">
      <c r="X390">
        <f>IF(COUNT(H390,I390,J390,L390)&lt;4,"",ROUND(AVERAGE(H390,I390,J390,L390),1))</f>
        <v/>
      </c>
      <c r="Y390">
        <f>IF(X390="","",IF(X390&lt;26,"normal",IF(X390&lt;41,"mild",IF(X390&lt;61,"moderate",IF(X390&lt;81,"severe","profound")))))</f>
        <v/>
      </c>
      <c r="Z390">
        <f>IF(X390="","",IF(OR(ABS(X390-25)&lt;=5,ABS(X390-40)&lt;=5,ABS(X390-60)&lt;=5,ABS(X390-80)&lt;=5),1,0))</f>
        <v/>
      </c>
      <c r="AA390">
        <f>IF(MAX(ABS(G390-H390),ABS(H390-I390),ABS(I390-J390),ABS(J390-K390),ABS(K390-L390),ABS(L390-M390),ABS(M390-N390))&gt;40,1,0)</f>
        <v/>
      </c>
    </row>
    <row r="391">
      <c r="X391">
        <f>IF(COUNT(H391,I391,J391,L391)&lt;4,"",ROUND(AVERAGE(H391,I391,J391,L391),1))</f>
        <v/>
      </c>
      <c r="Y391">
        <f>IF(X391="","",IF(X391&lt;26,"normal",IF(X391&lt;41,"mild",IF(X391&lt;61,"moderate",IF(X391&lt;81,"severe","profound")))))</f>
        <v/>
      </c>
      <c r="Z391">
        <f>IF(X391="","",IF(OR(ABS(X391-25)&lt;=5,ABS(X391-40)&lt;=5,ABS(X391-60)&lt;=5,ABS(X391-80)&lt;=5),1,0))</f>
        <v/>
      </c>
      <c r="AA391">
        <f>IF(MAX(ABS(G391-H391),ABS(H391-I391),ABS(I391-J391),ABS(J391-K391),ABS(K391-L391),ABS(L391-M391),ABS(M391-N391))&gt;40,1,0)</f>
        <v/>
      </c>
    </row>
    <row r="392">
      <c r="X392">
        <f>IF(COUNT(H392,I392,J392,L392)&lt;4,"",ROUND(AVERAGE(H392,I392,J392,L392),1))</f>
        <v/>
      </c>
      <c r="Y392">
        <f>IF(X392="","",IF(X392&lt;26,"normal",IF(X392&lt;41,"mild",IF(X392&lt;61,"moderate",IF(X392&lt;81,"severe","profound")))))</f>
        <v/>
      </c>
      <c r="Z392">
        <f>IF(X392="","",IF(OR(ABS(X392-25)&lt;=5,ABS(X392-40)&lt;=5,ABS(X392-60)&lt;=5,ABS(X392-80)&lt;=5),1,0))</f>
        <v/>
      </c>
      <c r="AA392">
        <f>IF(MAX(ABS(G392-H392),ABS(H392-I392),ABS(I392-J392),ABS(J392-K392),ABS(K392-L392),ABS(L392-M392),ABS(M392-N392))&gt;40,1,0)</f>
        <v/>
      </c>
    </row>
    <row r="393">
      <c r="X393">
        <f>IF(COUNT(H393,I393,J393,L393)&lt;4,"",ROUND(AVERAGE(H393,I393,J393,L393),1))</f>
        <v/>
      </c>
      <c r="Y393">
        <f>IF(X393="","",IF(X393&lt;26,"normal",IF(X393&lt;41,"mild",IF(X393&lt;61,"moderate",IF(X393&lt;81,"severe","profound")))))</f>
        <v/>
      </c>
      <c r="Z393">
        <f>IF(X393="","",IF(OR(ABS(X393-25)&lt;=5,ABS(X393-40)&lt;=5,ABS(X393-60)&lt;=5,ABS(X393-80)&lt;=5),1,0))</f>
        <v/>
      </c>
      <c r="AA393">
        <f>IF(MAX(ABS(G393-H393),ABS(H393-I393),ABS(I393-J393),ABS(J393-K393),ABS(K393-L393),ABS(L393-M393),ABS(M393-N393))&gt;40,1,0)</f>
        <v/>
      </c>
    </row>
    <row r="394">
      <c r="X394">
        <f>IF(COUNT(H394,I394,J394,L394)&lt;4,"",ROUND(AVERAGE(H394,I394,J394,L394),1))</f>
        <v/>
      </c>
      <c r="Y394">
        <f>IF(X394="","",IF(X394&lt;26,"normal",IF(X394&lt;41,"mild",IF(X394&lt;61,"moderate",IF(X394&lt;81,"severe","profound")))))</f>
        <v/>
      </c>
      <c r="Z394">
        <f>IF(X394="","",IF(OR(ABS(X394-25)&lt;=5,ABS(X394-40)&lt;=5,ABS(X394-60)&lt;=5,ABS(X394-80)&lt;=5),1,0))</f>
        <v/>
      </c>
      <c r="AA394">
        <f>IF(MAX(ABS(G394-H394),ABS(H394-I394),ABS(I394-J394),ABS(J394-K394),ABS(K394-L394),ABS(L394-M394),ABS(M394-N394))&gt;40,1,0)</f>
        <v/>
      </c>
    </row>
    <row r="395">
      <c r="X395">
        <f>IF(COUNT(H395,I395,J395,L395)&lt;4,"",ROUND(AVERAGE(H395,I395,J395,L395),1))</f>
        <v/>
      </c>
      <c r="Y395">
        <f>IF(X395="","",IF(X395&lt;26,"normal",IF(X395&lt;41,"mild",IF(X395&lt;61,"moderate",IF(X395&lt;81,"severe","profound")))))</f>
        <v/>
      </c>
      <c r="Z395">
        <f>IF(X395="","",IF(OR(ABS(X395-25)&lt;=5,ABS(X395-40)&lt;=5,ABS(X395-60)&lt;=5,ABS(X395-80)&lt;=5),1,0))</f>
        <v/>
      </c>
      <c r="AA395">
        <f>IF(MAX(ABS(G395-H395),ABS(H395-I395),ABS(I395-J395),ABS(J395-K395),ABS(K395-L395),ABS(L395-M395),ABS(M395-N395))&gt;40,1,0)</f>
        <v/>
      </c>
    </row>
    <row r="396">
      <c r="X396">
        <f>IF(COUNT(H396,I396,J396,L396)&lt;4,"",ROUND(AVERAGE(H396,I396,J396,L396),1))</f>
        <v/>
      </c>
      <c r="Y396">
        <f>IF(X396="","",IF(X396&lt;26,"normal",IF(X396&lt;41,"mild",IF(X396&lt;61,"moderate",IF(X396&lt;81,"severe","profound")))))</f>
        <v/>
      </c>
      <c r="Z396">
        <f>IF(X396="","",IF(OR(ABS(X396-25)&lt;=5,ABS(X396-40)&lt;=5,ABS(X396-60)&lt;=5,ABS(X396-80)&lt;=5),1,0))</f>
        <v/>
      </c>
      <c r="AA396">
        <f>IF(MAX(ABS(G396-H396),ABS(H396-I396),ABS(I396-J396),ABS(J396-K396),ABS(K396-L396),ABS(L396-M396),ABS(M396-N396))&gt;40,1,0)</f>
        <v/>
      </c>
    </row>
    <row r="397">
      <c r="X397">
        <f>IF(COUNT(H397,I397,J397,L397)&lt;4,"",ROUND(AVERAGE(H397,I397,J397,L397),1))</f>
        <v/>
      </c>
      <c r="Y397">
        <f>IF(X397="","",IF(X397&lt;26,"normal",IF(X397&lt;41,"mild",IF(X397&lt;61,"moderate",IF(X397&lt;81,"severe","profound")))))</f>
        <v/>
      </c>
      <c r="Z397">
        <f>IF(X397="","",IF(OR(ABS(X397-25)&lt;=5,ABS(X397-40)&lt;=5,ABS(X397-60)&lt;=5,ABS(X397-80)&lt;=5),1,0))</f>
        <v/>
      </c>
      <c r="AA397">
        <f>IF(MAX(ABS(G397-H397),ABS(H397-I397),ABS(I397-J397),ABS(J397-K397),ABS(K397-L397),ABS(L397-M397),ABS(M397-N397))&gt;40,1,0)</f>
        <v/>
      </c>
    </row>
    <row r="398">
      <c r="X398">
        <f>IF(COUNT(H398,I398,J398,L398)&lt;4,"",ROUND(AVERAGE(H398,I398,J398,L398),1))</f>
        <v/>
      </c>
      <c r="Y398">
        <f>IF(X398="","",IF(X398&lt;26,"normal",IF(X398&lt;41,"mild",IF(X398&lt;61,"moderate",IF(X398&lt;81,"severe","profound")))))</f>
        <v/>
      </c>
      <c r="Z398">
        <f>IF(X398="","",IF(OR(ABS(X398-25)&lt;=5,ABS(X398-40)&lt;=5,ABS(X398-60)&lt;=5,ABS(X398-80)&lt;=5),1,0))</f>
        <v/>
      </c>
      <c r="AA398">
        <f>IF(MAX(ABS(G398-H398),ABS(H398-I398),ABS(I398-J398),ABS(J398-K398),ABS(K398-L398),ABS(L398-M398),ABS(M398-N398))&gt;40,1,0)</f>
        <v/>
      </c>
    </row>
    <row r="399">
      <c r="X399">
        <f>IF(COUNT(H399,I399,J399,L399)&lt;4,"",ROUND(AVERAGE(H399,I399,J399,L399),1))</f>
        <v/>
      </c>
      <c r="Y399">
        <f>IF(X399="","",IF(X399&lt;26,"normal",IF(X399&lt;41,"mild",IF(X399&lt;61,"moderate",IF(X399&lt;81,"severe","profound")))))</f>
        <v/>
      </c>
      <c r="Z399">
        <f>IF(X399="","",IF(OR(ABS(X399-25)&lt;=5,ABS(X399-40)&lt;=5,ABS(X399-60)&lt;=5,ABS(X399-80)&lt;=5),1,0))</f>
        <v/>
      </c>
      <c r="AA399">
        <f>IF(MAX(ABS(G399-H399),ABS(H399-I399),ABS(I399-J399),ABS(J399-K399),ABS(K399-L399),ABS(L399-M399),ABS(M399-N399))&gt;40,1,0)</f>
        <v/>
      </c>
    </row>
    <row r="400">
      <c r="X400">
        <f>IF(COUNT(H400,I400,J400,L400)&lt;4,"",ROUND(AVERAGE(H400,I400,J400,L400),1))</f>
        <v/>
      </c>
      <c r="Y400">
        <f>IF(X400="","",IF(X400&lt;26,"normal",IF(X400&lt;41,"mild",IF(X400&lt;61,"moderate",IF(X400&lt;81,"severe","profound")))))</f>
        <v/>
      </c>
      <c r="Z400">
        <f>IF(X400="","",IF(OR(ABS(X400-25)&lt;=5,ABS(X400-40)&lt;=5,ABS(X400-60)&lt;=5,ABS(X400-80)&lt;=5),1,0))</f>
        <v/>
      </c>
      <c r="AA400">
        <f>IF(MAX(ABS(G400-H400),ABS(H400-I400),ABS(I400-J400),ABS(J400-K400),ABS(K400-L400),ABS(L400-M400),ABS(M400-N400))&gt;40,1,0)</f>
        <v/>
      </c>
    </row>
    <row r="401">
      <c r="X401">
        <f>IF(COUNT(H401,I401,J401,L401)&lt;4,"",ROUND(AVERAGE(H401,I401,J401,L401),1))</f>
        <v/>
      </c>
      <c r="Y401">
        <f>IF(X401="","",IF(X401&lt;26,"normal",IF(X401&lt;41,"mild",IF(X401&lt;61,"moderate",IF(X401&lt;81,"severe","profound")))))</f>
        <v/>
      </c>
      <c r="Z401">
        <f>IF(X401="","",IF(OR(ABS(X401-25)&lt;=5,ABS(X401-40)&lt;=5,ABS(X401-60)&lt;=5,ABS(X401-80)&lt;=5),1,0))</f>
        <v/>
      </c>
      <c r="AA401">
        <f>IF(MAX(ABS(G401-H401),ABS(H401-I401),ABS(I401-J401),ABS(J401-K401),ABS(K401-L401),ABS(L401-M401),ABS(M401-N401))&gt;40,1,0)</f>
        <v/>
      </c>
    </row>
    <row r="402">
      <c r="X402">
        <f>IF(COUNT(H402,I402,J402,L402)&lt;4,"",ROUND(AVERAGE(H402,I402,J402,L402),1))</f>
        <v/>
      </c>
      <c r="Y402">
        <f>IF(X402="","",IF(X402&lt;26,"normal",IF(X402&lt;41,"mild",IF(X402&lt;61,"moderate",IF(X402&lt;81,"severe","profound")))))</f>
        <v/>
      </c>
      <c r="Z402">
        <f>IF(X402="","",IF(OR(ABS(X402-25)&lt;=5,ABS(X402-40)&lt;=5,ABS(X402-60)&lt;=5,ABS(X402-80)&lt;=5),1,0))</f>
        <v/>
      </c>
      <c r="AA402">
        <f>IF(MAX(ABS(G402-H402),ABS(H402-I402),ABS(I402-J402),ABS(J402-K402),ABS(K402-L402),ABS(L402-M402),ABS(M402-N402))&gt;40,1,0)</f>
        <v/>
      </c>
    </row>
    <row r="403">
      <c r="X403">
        <f>IF(COUNT(H403,I403,J403,L403)&lt;4,"",ROUND(AVERAGE(H403,I403,J403,L403),1))</f>
        <v/>
      </c>
      <c r="Y403">
        <f>IF(X403="","",IF(X403&lt;26,"normal",IF(X403&lt;41,"mild",IF(X403&lt;61,"moderate",IF(X403&lt;81,"severe","profound")))))</f>
        <v/>
      </c>
      <c r="Z403">
        <f>IF(X403="","",IF(OR(ABS(X403-25)&lt;=5,ABS(X403-40)&lt;=5,ABS(X403-60)&lt;=5,ABS(X403-80)&lt;=5),1,0))</f>
        <v/>
      </c>
      <c r="AA403">
        <f>IF(MAX(ABS(G403-H403),ABS(H403-I403),ABS(I403-J403),ABS(J403-K403),ABS(K403-L403),ABS(L403-M403),ABS(M403-N403))&gt;40,1,0)</f>
        <v/>
      </c>
    </row>
    <row r="404">
      <c r="X404">
        <f>IF(COUNT(H404,I404,J404,L404)&lt;4,"",ROUND(AVERAGE(H404,I404,J404,L404),1))</f>
        <v/>
      </c>
      <c r="Y404">
        <f>IF(X404="","",IF(X404&lt;26,"normal",IF(X404&lt;41,"mild",IF(X404&lt;61,"moderate",IF(X404&lt;81,"severe","profound")))))</f>
        <v/>
      </c>
      <c r="Z404">
        <f>IF(X404="","",IF(OR(ABS(X404-25)&lt;=5,ABS(X404-40)&lt;=5,ABS(X404-60)&lt;=5,ABS(X404-80)&lt;=5),1,0))</f>
        <v/>
      </c>
      <c r="AA404">
        <f>IF(MAX(ABS(G404-H404),ABS(H404-I404),ABS(I404-J404),ABS(J404-K404),ABS(K404-L404),ABS(L404-M404),ABS(M404-N404))&gt;40,1,0)</f>
        <v/>
      </c>
    </row>
    <row r="405">
      <c r="X405">
        <f>IF(COUNT(H405,I405,J405,L405)&lt;4,"",ROUND(AVERAGE(H405,I405,J405,L405),1))</f>
        <v/>
      </c>
      <c r="Y405">
        <f>IF(X405="","",IF(X405&lt;26,"normal",IF(X405&lt;41,"mild",IF(X405&lt;61,"moderate",IF(X405&lt;81,"severe","profound")))))</f>
        <v/>
      </c>
      <c r="Z405">
        <f>IF(X405="","",IF(OR(ABS(X405-25)&lt;=5,ABS(X405-40)&lt;=5,ABS(X405-60)&lt;=5,ABS(X405-80)&lt;=5),1,0))</f>
        <v/>
      </c>
      <c r="AA405">
        <f>IF(MAX(ABS(G405-H405),ABS(H405-I405),ABS(I405-J405),ABS(J405-K405),ABS(K405-L405),ABS(L405-M405),ABS(M405-N405))&gt;40,1,0)</f>
        <v/>
      </c>
    </row>
    <row r="406">
      <c r="X406">
        <f>IF(COUNT(H406,I406,J406,L406)&lt;4,"",ROUND(AVERAGE(H406,I406,J406,L406),1))</f>
        <v/>
      </c>
      <c r="Y406">
        <f>IF(X406="","",IF(X406&lt;26,"normal",IF(X406&lt;41,"mild",IF(X406&lt;61,"moderate",IF(X406&lt;81,"severe","profound")))))</f>
        <v/>
      </c>
      <c r="Z406">
        <f>IF(X406="","",IF(OR(ABS(X406-25)&lt;=5,ABS(X406-40)&lt;=5,ABS(X406-60)&lt;=5,ABS(X406-80)&lt;=5),1,0))</f>
        <v/>
      </c>
      <c r="AA406">
        <f>IF(MAX(ABS(G406-H406),ABS(H406-I406),ABS(I406-J406),ABS(J406-K406),ABS(K406-L406),ABS(L406-M406),ABS(M406-N406))&gt;40,1,0)</f>
        <v/>
      </c>
    </row>
    <row r="407">
      <c r="X407">
        <f>IF(COUNT(H407,I407,J407,L407)&lt;4,"",ROUND(AVERAGE(H407,I407,J407,L407),1))</f>
        <v/>
      </c>
      <c r="Y407">
        <f>IF(X407="","",IF(X407&lt;26,"normal",IF(X407&lt;41,"mild",IF(X407&lt;61,"moderate",IF(X407&lt;81,"severe","profound")))))</f>
        <v/>
      </c>
      <c r="Z407">
        <f>IF(X407="","",IF(OR(ABS(X407-25)&lt;=5,ABS(X407-40)&lt;=5,ABS(X407-60)&lt;=5,ABS(X407-80)&lt;=5),1,0))</f>
        <v/>
      </c>
      <c r="AA407">
        <f>IF(MAX(ABS(G407-H407),ABS(H407-I407),ABS(I407-J407),ABS(J407-K407),ABS(K407-L407),ABS(L407-M407),ABS(M407-N407))&gt;40,1,0)</f>
        <v/>
      </c>
    </row>
    <row r="408">
      <c r="X408">
        <f>IF(COUNT(H408,I408,J408,L408)&lt;4,"",ROUND(AVERAGE(H408,I408,J408,L408),1))</f>
        <v/>
      </c>
      <c r="Y408">
        <f>IF(X408="","",IF(X408&lt;26,"normal",IF(X408&lt;41,"mild",IF(X408&lt;61,"moderate",IF(X408&lt;81,"severe","profound")))))</f>
        <v/>
      </c>
      <c r="Z408">
        <f>IF(X408="","",IF(OR(ABS(X408-25)&lt;=5,ABS(X408-40)&lt;=5,ABS(X408-60)&lt;=5,ABS(X408-80)&lt;=5),1,0))</f>
        <v/>
      </c>
      <c r="AA408">
        <f>IF(MAX(ABS(G408-H408),ABS(H408-I408),ABS(I408-J408),ABS(J408-K408),ABS(K408-L408),ABS(L408-M408),ABS(M408-N408))&gt;40,1,0)</f>
        <v/>
      </c>
    </row>
    <row r="409">
      <c r="X409">
        <f>IF(COUNT(H409,I409,J409,L409)&lt;4,"",ROUND(AVERAGE(H409,I409,J409,L409),1))</f>
        <v/>
      </c>
      <c r="Y409">
        <f>IF(X409="","",IF(X409&lt;26,"normal",IF(X409&lt;41,"mild",IF(X409&lt;61,"moderate",IF(X409&lt;81,"severe","profound")))))</f>
        <v/>
      </c>
      <c r="Z409">
        <f>IF(X409="","",IF(OR(ABS(X409-25)&lt;=5,ABS(X409-40)&lt;=5,ABS(X409-60)&lt;=5,ABS(X409-80)&lt;=5),1,0))</f>
        <v/>
      </c>
      <c r="AA409">
        <f>IF(MAX(ABS(G409-H409),ABS(H409-I409),ABS(I409-J409),ABS(J409-K409),ABS(K409-L409),ABS(L409-M409),ABS(M409-N409))&gt;40,1,0)</f>
        <v/>
      </c>
    </row>
    <row r="410">
      <c r="X410">
        <f>IF(COUNT(H410,I410,J410,L410)&lt;4,"",ROUND(AVERAGE(H410,I410,J410,L410),1))</f>
        <v/>
      </c>
      <c r="Y410">
        <f>IF(X410="","",IF(X410&lt;26,"normal",IF(X410&lt;41,"mild",IF(X410&lt;61,"moderate",IF(X410&lt;81,"severe","profound")))))</f>
        <v/>
      </c>
      <c r="Z410">
        <f>IF(X410="","",IF(OR(ABS(X410-25)&lt;=5,ABS(X410-40)&lt;=5,ABS(X410-60)&lt;=5,ABS(X410-80)&lt;=5),1,0))</f>
        <v/>
      </c>
      <c r="AA410">
        <f>IF(MAX(ABS(G410-H410),ABS(H410-I410),ABS(I410-J410),ABS(J410-K410),ABS(K410-L410),ABS(L410-M410),ABS(M410-N410))&gt;40,1,0)</f>
        <v/>
      </c>
    </row>
    <row r="411">
      <c r="X411">
        <f>IF(COUNT(H411,I411,J411,L411)&lt;4,"",ROUND(AVERAGE(H411,I411,J411,L411),1))</f>
        <v/>
      </c>
      <c r="Y411">
        <f>IF(X411="","",IF(X411&lt;26,"normal",IF(X411&lt;41,"mild",IF(X411&lt;61,"moderate",IF(X411&lt;81,"severe","profound")))))</f>
        <v/>
      </c>
      <c r="Z411">
        <f>IF(X411="","",IF(OR(ABS(X411-25)&lt;=5,ABS(X411-40)&lt;=5,ABS(X411-60)&lt;=5,ABS(X411-80)&lt;=5),1,0))</f>
        <v/>
      </c>
      <c r="AA411">
        <f>IF(MAX(ABS(G411-H411),ABS(H411-I411),ABS(I411-J411),ABS(J411-K411),ABS(K411-L411),ABS(L411-M411),ABS(M411-N411))&gt;40,1,0)</f>
        <v/>
      </c>
    </row>
    <row r="412">
      <c r="X412">
        <f>IF(COUNT(H412,I412,J412,L412)&lt;4,"",ROUND(AVERAGE(H412,I412,J412,L412),1))</f>
        <v/>
      </c>
      <c r="Y412">
        <f>IF(X412="","",IF(X412&lt;26,"normal",IF(X412&lt;41,"mild",IF(X412&lt;61,"moderate",IF(X412&lt;81,"severe","profound")))))</f>
        <v/>
      </c>
      <c r="Z412">
        <f>IF(X412="","",IF(OR(ABS(X412-25)&lt;=5,ABS(X412-40)&lt;=5,ABS(X412-60)&lt;=5,ABS(X412-80)&lt;=5),1,0))</f>
        <v/>
      </c>
      <c r="AA412">
        <f>IF(MAX(ABS(G412-H412),ABS(H412-I412),ABS(I412-J412),ABS(J412-K412),ABS(K412-L412),ABS(L412-M412),ABS(M412-N412))&gt;40,1,0)</f>
        <v/>
      </c>
    </row>
    <row r="413">
      <c r="X413">
        <f>IF(COUNT(H413,I413,J413,L413)&lt;4,"",ROUND(AVERAGE(H413,I413,J413,L413),1))</f>
        <v/>
      </c>
      <c r="Y413">
        <f>IF(X413="","",IF(X413&lt;26,"normal",IF(X413&lt;41,"mild",IF(X413&lt;61,"moderate",IF(X413&lt;81,"severe","profound")))))</f>
        <v/>
      </c>
      <c r="Z413">
        <f>IF(X413="","",IF(OR(ABS(X413-25)&lt;=5,ABS(X413-40)&lt;=5,ABS(X413-60)&lt;=5,ABS(X413-80)&lt;=5),1,0))</f>
        <v/>
      </c>
      <c r="AA413">
        <f>IF(MAX(ABS(G413-H413),ABS(H413-I413),ABS(I413-J413),ABS(J413-K413),ABS(K413-L413),ABS(L413-M413),ABS(M413-N413))&gt;40,1,0)</f>
        <v/>
      </c>
    </row>
    <row r="414">
      <c r="X414">
        <f>IF(COUNT(H414,I414,J414,L414)&lt;4,"",ROUND(AVERAGE(H414,I414,J414,L414),1))</f>
        <v/>
      </c>
      <c r="Y414">
        <f>IF(X414="","",IF(X414&lt;26,"normal",IF(X414&lt;41,"mild",IF(X414&lt;61,"moderate",IF(X414&lt;81,"severe","profound")))))</f>
        <v/>
      </c>
      <c r="Z414">
        <f>IF(X414="","",IF(OR(ABS(X414-25)&lt;=5,ABS(X414-40)&lt;=5,ABS(X414-60)&lt;=5,ABS(X414-80)&lt;=5),1,0))</f>
        <v/>
      </c>
      <c r="AA414">
        <f>IF(MAX(ABS(G414-H414),ABS(H414-I414),ABS(I414-J414),ABS(J414-K414),ABS(K414-L414),ABS(L414-M414),ABS(M414-N414))&gt;40,1,0)</f>
        <v/>
      </c>
    </row>
    <row r="415">
      <c r="X415">
        <f>IF(COUNT(H415,I415,J415,L415)&lt;4,"",ROUND(AVERAGE(H415,I415,J415,L415),1))</f>
        <v/>
      </c>
      <c r="Y415">
        <f>IF(X415="","",IF(X415&lt;26,"normal",IF(X415&lt;41,"mild",IF(X415&lt;61,"moderate",IF(X415&lt;81,"severe","profound")))))</f>
        <v/>
      </c>
      <c r="Z415">
        <f>IF(X415="","",IF(OR(ABS(X415-25)&lt;=5,ABS(X415-40)&lt;=5,ABS(X415-60)&lt;=5,ABS(X415-80)&lt;=5),1,0))</f>
        <v/>
      </c>
      <c r="AA415">
        <f>IF(MAX(ABS(G415-H415),ABS(H415-I415),ABS(I415-J415),ABS(J415-K415),ABS(K415-L415),ABS(L415-M415),ABS(M415-N415))&gt;40,1,0)</f>
        <v/>
      </c>
    </row>
    <row r="416">
      <c r="X416">
        <f>IF(COUNT(H416,I416,J416,L416)&lt;4,"",ROUND(AVERAGE(H416,I416,J416,L416),1))</f>
        <v/>
      </c>
      <c r="Y416">
        <f>IF(X416="","",IF(X416&lt;26,"normal",IF(X416&lt;41,"mild",IF(X416&lt;61,"moderate",IF(X416&lt;81,"severe","profound")))))</f>
        <v/>
      </c>
      <c r="Z416">
        <f>IF(X416="","",IF(OR(ABS(X416-25)&lt;=5,ABS(X416-40)&lt;=5,ABS(X416-60)&lt;=5,ABS(X416-80)&lt;=5),1,0))</f>
        <v/>
      </c>
      <c r="AA416">
        <f>IF(MAX(ABS(G416-H416),ABS(H416-I416),ABS(I416-J416),ABS(J416-K416),ABS(K416-L416),ABS(L416-M416),ABS(M416-N416))&gt;40,1,0)</f>
        <v/>
      </c>
    </row>
    <row r="417">
      <c r="X417">
        <f>IF(COUNT(H417,I417,J417,L417)&lt;4,"",ROUND(AVERAGE(H417,I417,J417,L417),1))</f>
        <v/>
      </c>
      <c r="Y417">
        <f>IF(X417="","",IF(X417&lt;26,"normal",IF(X417&lt;41,"mild",IF(X417&lt;61,"moderate",IF(X417&lt;81,"severe","profound")))))</f>
        <v/>
      </c>
      <c r="Z417">
        <f>IF(X417="","",IF(OR(ABS(X417-25)&lt;=5,ABS(X417-40)&lt;=5,ABS(X417-60)&lt;=5,ABS(X417-80)&lt;=5),1,0))</f>
        <v/>
      </c>
      <c r="AA417">
        <f>IF(MAX(ABS(G417-H417),ABS(H417-I417),ABS(I417-J417),ABS(J417-K417),ABS(K417-L417),ABS(L417-M417),ABS(M417-N417))&gt;40,1,0)</f>
        <v/>
      </c>
    </row>
    <row r="418">
      <c r="X418">
        <f>IF(COUNT(H418,I418,J418,L418)&lt;4,"",ROUND(AVERAGE(H418,I418,J418,L418),1))</f>
        <v/>
      </c>
      <c r="Y418">
        <f>IF(X418="","",IF(X418&lt;26,"normal",IF(X418&lt;41,"mild",IF(X418&lt;61,"moderate",IF(X418&lt;81,"severe","profound")))))</f>
        <v/>
      </c>
      <c r="Z418">
        <f>IF(X418="","",IF(OR(ABS(X418-25)&lt;=5,ABS(X418-40)&lt;=5,ABS(X418-60)&lt;=5,ABS(X418-80)&lt;=5),1,0))</f>
        <v/>
      </c>
      <c r="AA418">
        <f>IF(MAX(ABS(G418-H418),ABS(H418-I418),ABS(I418-J418),ABS(J418-K418),ABS(K418-L418),ABS(L418-M418),ABS(M418-N418))&gt;40,1,0)</f>
        <v/>
      </c>
    </row>
    <row r="419">
      <c r="X419">
        <f>IF(COUNT(H419,I419,J419,L419)&lt;4,"",ROUND(AVERAGE(H419,I419,J419,L419),1))</f>
        <v/>
      </c>
      <c r="Y419">
        <f>IF(X419="","",IF(X419&lt;26,"normal",IF(X419&lt;41,"mild",IF(X419&lt;61,"moderate",IF(X419&lt;81,"severe","profound")))))</f>
        <v/>
      </c>
      <c r="Z419">
        <f>IF(X419="","",IF(OR(ABS(X419-25)&lt;=5,ABS(X419-40)&lt;=5,ABS(X419-60)&lt;=5,ABS(X419-80)&lt;=5),1,0))</f>
        <v/>
      </c>
      <c r="AA419">
        <f>IF(MAX(ABS(G419-H419),ABS(H419-I419),ABS(I419-J419),ABS(J419-K419),ABS(K419-L419),ABS(L419-M419),ABS(M419-N419))&gt;40,1,0)</f>
        <v/>
      </c>
    </row>
    <row r="420">
      <c r="X420">
        <f>IF(COUNT(H420,I420,J420,L420)&lt;4,"",ROUND(AVERAGE(H420,I420,J420,L420),1))</f>
        <v/>
      </c>
      <c r="Y420">
        <f>IF(X420="","",IF(X420&lt;26,"normal",IF(X420&lt;41,"mild",IF(X420&lt;61,"moderate",IF(X420&lt;81,"severe","profound")))))</f>
        <v/>
      </c>
      <c r="Z420">
        <f>IF(X420="","",IF(OR(ABS(X420-25)&lt;=5,ABS(X420-40)&lt;=5,ABS(X420-60)&lt;=5,ABS(X420-80)&lt;=5),1,0))</f>
        <v/>
      </c>
      <c r="AA420">
        <f>IF(MAX(ABS(G420-H420),ABS(H420-I420),ABS(I420-J420),ABS(J420-K420),ABS(K420-L420),ABS(L420-M420),ABS(M420-N420))&gt;40,1,0)</f>
        <v/>
      </c>
    </row>
    <row r="421">
      <c r="X421">
        <f>IF(COUNT(H421,I421,J421,L421)&lt;4,"",ROUND(AVERAGE(H421,I421,J421,L421),1))</f>
        <v/>
      </c>
      <c r="Y421">
        <f>IF(X421="","",IF(X421&lt;26,"normal",IF(X421&lt;41,"mild",IF(X421&lt;61,"moderate",IF(X421&lt;81,"severe","profound")))))</f>
        <v/>
      </c>
      <c r="Z421">
        <f>IF(X421="","",IF(OR(ABS(X421-25)&lt;=5,ABS(X421-40)&lt;=5,ABS(X421-60)&lt;=5,ABS(X421-80)&lt;=5),1,0))</f>
        <v/>
      </c>
      <c r="AA421">
        <f>IF(MAX(ABS(G421-H421),ABS(H421-I421),ABS(I421-J421),ABS(J421-K421),ABS(K421-L421),ABS(L421-M421),ABS(M421-N421))&gt;40,1,0)</f>
        <v/>
      </c>
    </row>
    <row r="422">
      <c r="X422">
        <f>IF(COUNT(H422,I422,J422,L422)&lt;4,"",ROUND(AVERAGE(H422,I422,J422,L422),1))</f>
        <v/>
      </c>
      <c r="Y422">
        <f>IF(X422="","",IF(X422&lt;26,"normal",IF(X422&lt;41,"mild",IF(X422&lt;61,"moderate",IF(X422&lt;81,"severe","profound")))))</f>
        <v/>
      </c>
      <c r="Z422">
        <f>IF(X422="","",IF(OR(ABS(X422-25)&lt;=5,ABS(X422-40)&lt;=5,ABS(X422-60)&lt;=5,ABS(X422-80)&lt;=5),1,0))</f>
        <v/>
      </c>
      <c r="AA422">
        <f>IF(MAX(ABS(G422-H422),ABS(H422-I422),ABS(I422-J422),ABS(J422-K422),ABS(K422-L422),ABS(L422-M422),ABS(M422-N422))&gt;40,1,0)</f>
        <v/>
      </c>
    </row>
    <row r="423">
      <c r="X423">
        <f>IF(COUNT(H423,I423,J423,L423)&lt;4,"",ROUND(AVERAGE(H423,I423,J423,L423),1))</f>
        <v/>
      </c>
      <c r="Y423">
        <f>IF(X423="","",IF(X423&lt;26,"normal",IF(X423&lt;41,"mild",IF(X423&lt;61,"moderate",IF(X423&lt;81,"severe","profound")))))</f>
        <v/>
      </c>
      <c r="Z423">
        <f>IF(X423="","",IF(OR(ABS(X423-25)&lt;=5,ABS(X423-40)&lt;=5,ABS(X423-60)&lt;=5,ABS(X423-80)&lt;=5),1,0))</f>
        <v/>
      </c>
      <c r="AA423">
        <f>IF(MAX(ABS(G423-H423),ABS(H423-I423),ABS(I423-J423),ABS(J423-K423),ABS(K423-L423),ABS(L423-M423),ABS(M423-N423))&gt;40,1,0)</f>
        <v/>
      </c>
    </row>
    <row r="424">
      <c r="X424">
        <f>IF(COUNT(H424,I424,J424,L424)&lt;4,"",ROUND(AVERAGE(H424,I424,J424,L424),1))</f>
        <v/>
      </c>
      <c r="Y424">
        <f>IF(X424="","",IF(X424&lt;26,"normal",IF(X424&lt;41,"mild",IF(X424&lt;61,"moderate",IF(X424&lt;81,"severe","profound")))))</f>
        <v/>
      </c>
      <c r="Z424">
        <f>IF(X424="","",IF(OR(ABS(X424-25)&lt;=5,ABS(X424-40)&lt;=5,ABS(X424-60)&lt;=5,ABS(X424-80)&lt;=5),1,0))</f>
        <v/>
      </c>
      <c r="AA424">
        <f>IF(MAX(ABS(G424-H424),ABS(H424-I424),ABS(I424-J424),ABS(J424-K424),ABS(K424-L424),ABS(L424-M424),ABS(M424-N424))&gt;40,1,0)</f>
        <v/>
      </c>
    </row>
    <row r="425">
      <c r="X425">
        <f>IF(COUNT(H425,I425,J425,L425)&lt;4,"",ROUND(AVERAGE(H425,I425,J425,L425),1))</f>
        <v/>
      </c>
      <c r="Y425">
        <f>IF(X425="","",IF(X425&lt;26,"normal",IF(X425&lt;41,"mild",IF(X425&lt;61,"moderate",IF(X425&lt;81,"severe","profound")))))</f>
        <v/>
      </c>
      <c r="Z425">
        <f>IF(X425="","",IF(OR(ABS(X425-25)&lt;=5,ABS(X425-40)&lt;=5,ABS(X425-60)&lt;=5,ABS(X425-80)&lt;=5),1,0))</f>
        <v/>
      </c>
      <c r="AA425">
        <f>IF(MAX(ABS(G425-H425),ABS(H425-I425),ABS(I425-J425),ABS(J425-K425),ABS(K425-L425),ABS(L425-M425),ABS(M425-N425))&gt;40,1,0)</f>
        <v/>
      </c>
    </row>
    <row r="426">
      <c r="X426">
        <f>IF(COUNT(H426,I426,J426,L426)&lt;4,"",ROUND(AVERAGE(H426,I426,J426,L426),1))</f>
        <v/>
      </c>
      <c r="Y426">
        <f>IF(X426="","",IF(X426&lt;26,"normal",IF(X426&lt;41,"mild",IF(X426&lt;61,"moderate",IF(X426&lt;81,"severe","profound")))))</f>
        <v/>
      </c>
      <c r="Z426">
        <f>IF(X426="","",IF(OR(ABS(X426-25)&lt;=5,ABS(X426-40)&lt;=5,ABS(X426-60)&lt;=5,ABS(X426-80)&lt;=5),1,0))</f>
        <v/>
      </c>
      <c r="AA426">
        <f>IF(MAX(ABS(G426-H426),ABS(H426-I426),ABS(I426-J426),ABS(J426-K426),ABS(K426-L426),ABS(L426-M426),ABS(M426-N426))&gt;40,1,0)</f>
        <v/>
      </c>
    </row>
    <row r="427">
      <c r="X427">
        <f>IF(COUNT(H427,I427,J427,L427)&lt;4,"",ROUND(AVERAGE(H427,I427,J427,L427),1))</f>
        <v/>
      </c>
      <c r="Y427">
        <f>IF(X427="","",IF(X427&lt;26,"normal",IF(X427&lt;41,"mild",IF(X427&lt;61,"moderate",IF(X427&lt;81,"severe","profound")))))</f>
        <v/>
      </c>
      <c r="Z427">
        <f>IF(X427="","",IF(OR(ABS(X427-25)&lt;=5,ABS(X427-40)&lt;=5,ABS(X427-60)&lt;=5,ABS(X427-80)&lt;=5),1,0))</f>
        <v/>
      </c>
      <c r="AA427">
        <f>IF(MAX(ABS(G427-H427),ABS(H427-I427),ABS(I427-J427),ABS(J427-K427),ABS(K427-L427),ABS(L427-M427),ABS(M427-N427))&gt;40,1,0)</f>
        <v/>
      </c>
    </row>
    <row r="428">
      <c r="X428">
        <f>IF(COUNT(H428,I428,J428,L428)&lt;4,"",ROUND(AVERAGE(H428,I428,J428,L428),1))</f>
        <v/>
      </c>
      <c r="Y428">
        <f>IF(X428="","",IF(X428&lt;26,"normal",IF(X428&lt;41,"mild",IF(X428&lt;61,"moderate",IF(X428&lt;81,"severe","profound")))))</f>
        <v/>
      </c>
      <c r="Z428">
        <f>IF(X428="","",IF(OR(ABS(X428-25)&lt;=5,ABS(X428-40)&lt;=5,ABS(X428-60)&lt;=5,ABS(X428-80)&lt;=5),1,0))</f>
        <v/>
      </c>
      <c r="AA428">
        <f>IF(MAX(ABS(G428-H428),ABS(H428-I428),ABS(I428-J428),ABS(J428-K428),ABS(K428-L428),ABS(L428-M428),ABS(M428-N428))&gt;40,1,0)</f>
        <v/>
      </c>
    </row>
    <row r="429">
      <c r="X429">
        <f>IF(COUNT(H429,I429,J429,L429)&lt;4,"",ROUND(AVERAGE(H429,I429,J429,L429),1))</f>
        <v/>
      </c>
      <c r="Y429">
        <f>IF(X429="","",IF(X429&lt;26,"normal",IF(X429&lt;41,"mild",IF(X429&lt;61,"moderate",IF(X429&lt;81,"severe","profound")))))</f>
        <v/>
      </c>
      <c r="Z429">
        <f>IF(X429="","",IF(OR(ABS(X429-25)&lt;=5,ABS(X429-40)&lt;=5,ABS(X429-60)&lt;=5,ABS(X429-80)&lt;=5),1,0))</f>
        <v/>
      </c>
      <c r="AA429">
        <f>IF(MAX(ABS(G429-H429),ABS(H429-I429),ABS(I429-J429),ABS(J429-K429),ABS(K429-L429),ABS(L429-M429),ABS(M429-N429))&gt;40,1,0)</f>
        <v/>
      </c>
    </row>
    <row r="430">
      <c r="X430">
        <f>IF(COUNT(H430,I430,J430,L430)&lt;4,"",ROUND(AVERAGE(H430,I430,J430,L430),1))</f>
        <v/>
      </c>
      <c r="Y430">
        <f>IF(X430="","",IF(X430&lt;26,"normal",IF(X430&lt;41,"mild",IF(X430&lt;61,"moderate",IF(X430&lt;81,"severe","profound")))))</f>
        <v/>
      </c>
      <c r="Z430">
        <f>IF(X430="","",IF(OR(ABS(X430-25)&lt;=5,ABS(X430-40)&lt;=5,ABS(X430-60)&lt;=5,ABS(X430-80)&lt;=5),1,0))</f>
        <v/>
      </c>
      <c r="AA430">
        <f>IF(MAX(ABS(G430-H430),ABS(H430-I430),ABS(I430-J430),ABS(J430-K430),ABS(K430-L430),ABS(L430-M430),ABS(M430-N430))&gt;40,1,0)</f>
        <v/>
      </c>
    </row>
    <row r="431">
      <c r="X431">
        <f>IF(COUNT(H431,I431,J431,L431)&lt;4,"",ROUND(AVERAGE(H431,I431,J431,L431),1))</f>
        <v/>
      </c>
      <c r="Y431">
        <f>IF(X431="","",IF(X431&lt;26,"normal",IF(X431&lt;41,"mild",IF(X431&lt;61,"moderate",IF(X431&lt;81,"severe","profound")))))</f>
        <v/>
      </c>
      <c r="Z431">
        <f>IF(X431="","",IF(OR(ABS(X431-25)&lt;=5,ABS(X431-40)&lt;=5,ABS(X431-60)&lt;=5,ABS(X431-80)&lt;=5),1,0))</f>
        <v/>
      </c>
      <c r="AA431">
        <f>IF(MAX(ABS(G431-H431),ABS(H431-I431),ABS(I431-J431),ABS(J431-K431),ABS(K431-L431),ABS(L431-M431),ABS(M431-N431))&gt;40,1,0)</f>
        <v/>
      </c>
    </row>
    <row r="432">
      <c r="X432">
        <f>IF(COUNT(H432,I432,J432,L432)&lt;4,"",ROUND(AVERAGE(H432,I432,J432,L432),1))</f>
        <v/>
      </c>
      <c r="Y432">
        <f>IF(X432="","",IF(X432&lt;26,"normal",IF(X432&lt;41,"mild",IF(X432&lt;61,"moderate",IF(X432&lt;81,"severe","profound")))))</f>
        <v/>
      </c>
      <c r="Z432">
        <f>IF(X432="","",IF(OR(ABS(X432-25)&lt;=5,ABS(X432-40)&lt;=5,ABS(X432-60)&lt;=5,ABS(X432-80)&lt;=5),1,0))</f>
        <v/>
      </c>
      <c r="AA432">
        <f>IF(MAX(ABS(G432-H432),ABS(H432-I432),ABS(I432-J432),ABS(J432-K432),ABS(K432-L432),ABS(L432-M432),ABS(M432-N432))&gt;40,1,0)</f>
        <v/>
      </c>
    </row>
    <row r="433">
      <c r="X433">
        <f>IF(COUNT(H433,I433,J433,L433)&lt;4,"",ROUND(AVERAGE(H433,I433,J433,L433),1))</f>
        <v/>
      </c>
      <c r="Y433">
        <f>IF(X433="","",IF(X433&lt;26,"normal",IF(X433&lt;41,"mild",IF(X433&lt;61,"moderate",IF(X433&lt;81,"severe","profound")))))</f>
        <v/>
      </c>
      <c r="Z433">
        <f>IF(X433="","",IF(OR(ABS(X433-25)&lt;=5,ABS(X433-40)&lt;=5,ABS(X433-60)&lt;=5,ABS(X433-80)&lt;=5),1,0))</f>
        <v/>
      </c>
      <c r="AA433">
        <f>IF(MAX(ABS(G433-H433),ABS(H433-I433),ABS(I433-J433),ABS(J433-K433),ABS(K433-L433),ABS(L433-M433),ABS(M433-N433))&gt;40,1,0)</f>
        <v/>
      </c>
    </row>
    <row r="434">
      <c r="X434">
        <f>IF(COUNT(H434,I434,J434,L434)&lt;4,"",ROUND(AVERAGE(H434,I434,J434,L434),1))</f>
        <v/>
      </c>
      <c r="Y434">
        <f>IF(X434="","",IF(X434&lt;26,"normal",IF(X434&lt;41,"mild",IF(X434&lt;61,"moderate",IF(X434&lt;81,"severe","profound")))))</f>
        <v/>
      </c>
      <c r="Z434">
        <f>IF(X434="","",IF(OR(ABS(X434-25)&lt;=5,ABS(X434-40)&lt;=5,ABS(X434-60)&lt;=5,ABS(X434-80)&lt;=5),1,0))</f>
        <v/>
      </c>
      <c r="AA434">
        <f>IF(MAX(ABS(G434-H434),ABS(H434-I434),ABS(I434-J434),ABS(J434-K434),ABS(K434-L434),ABS(L434-M434),ABS(M434-N434))&gt;40,1,0)</f>
        <v/>
      </c>
    </row>
    <row r="435">
      <c r="X435">
        <f>IF(COUNT(H435,I435,J435,L435)&lt;4,"",ROUND(AVERAGE(H435,I435,J435,L435),1))</f>
        <v/>
      </c>
      <c r="Y435">
        <f>IF(X435="","",IF(X435&lt;26,"normal",IF(X435&lt;41,"mild",IF(X435&lt;61,"moderate",IF(X435&lt;81,"severe","profound")))))</f>
        <v/>
      </c>
      <c r="Z435">
        <f>IF(X435="","",IF(OR(ABS(X435-25)&lt;=5,ABS(X435-40)&lt;=5,ABS(X435-60)&lt;=5,ABS(X435-80)&lt;=5),1,0))</f>
        <v/>
      </c>
      <c r="AA435">
        <f>IF(MAX(ABS(G435-H435),ABS(H435-I435),ABS(I435-J435),ABS(J435-K435),ABS(K435-L435),ABS(L435-M435),ABS(M435-N435))&gt;40,1,0)</f>
        <v/>
      </c>
    </row>
    <row r="436">
      <c r="X436">
        <f>IF(COUNT(H436,I436,J436,L436)&lt;4,"",ROUND(AVERAGE(H436,I436,J436,L436),1))</f>
        <v/>
      </c>
      <c r="Y436">
        <f>IF(X436="","",IF(X436&lt;26,"normal",IF(X436&lt;41,"mild",IF(X436&lt;61,"moderate",IF(X436&lt;81,"severe","profound")))))</f>
        <v/>
      </c>
      <c r="Z436">
        <f>IF(X436="","",IF(OR(ABS(X436-25)&lt;=5,ABS(X436-40)&lt;=5,ABS(X436-60)&lt;=5,ABS(X436-80)&lt;=5),1,0))</f>
        <v/>
      </c>
      <c r="AA436">
        <f>IF(MAX(ABS(G436-H436),ABS(H436-I436),ABS(I436-J436),ABS(J436-K436),ABS(K436-L436),ABS(L436-M436),ABS(M436-N436))&gt;40,1,0)</f>
        <v/>
      </c>
    </row>
    <row r="437">
      <c r="X437">
        <f>IF(COUNT(H437,I437,J437,L437)&lt;4,"",ROUND(AVERAGE(H437,I437,J437,L437),1))</f>
        <v/>
      </c>
      <c r="Y437">
        <f>IF(X437="","",IF(X437&lt;26,"normal",IF(X437&lt;41,"mild",IF(X437&lt;61,"moderate",IF(X437&lt;81,"severe","profound")))))</f>
        <v/>
      </c>
      <c r="Z437">
        <f>IF(X437="","",IF(OR(ABS(X437-25)&lt;=5,ABS(X437-40)&lt;=5,ABS(X437-60)&lt;=5,ABS(X437-80)&lt;=5),1,0))</f>
        <v/>
      </c>
      <c r="AA437">
        <f>IF(MAX(ABS(G437-H437),ABS(H437-I437),ABS(I437-J437),ABS(J437-K437),ABS(K437-L437),ABS(L437-M437),ABS(M437-N437))&gt;40,1,0)</f>
        <v/>
      </c>
    </row>
    <row r="438">
      <c r="X438">
        <f>IF(COUNT(H438,I438,J438,L438)&lt;4,"",ROUND(AVERAGE(H438,I438,J438,L438),1))</f>
        <v/>
      </c>
      <c r="Y438">
        <f>IF(X438="","",IF(X438&lt;26,"normal",IF(X438&lt;41,"mild",IF(X438&lt;61,"moderate",IF(X438&lt;81,"severe","profound")))))</f>
        <v/>
      </c>
      <c r="Z438">
        <f>IF(X438="","",IF(OR(ABS(X438-25)&lt;=5,ABS(X438-40)&lt;=5,ABS(X438-60)&lt;=5,ABS(X438-80)&lt;=5),1,0))</f>
        <v/>
      </c>
      <c r="AA438">
        <f>IF(MAX(ABS(G438-H438),ABS(H438-I438),ABS(I438-J438),ABS(J438-K438),ABS(K438-L438),ABS(L438-M438),ABS(M438-N438))&gt;40,1,0)</f>
        <v/>
      </c>
    </row>
    <row r="439">
      <c r="X439">
        <f>IF(COUNT(H439,I439,J439,L439)&lt;4,"",ROUND(AVERAGE(H439,I439,J439,L439),1))</f>
        <v/>
      </c>
      <c r="Y439">
        <f>IF(X439="","",IF(X439&lt;26,"normal",IF(X439&lt;41,"mild",IF(X439&lt;61,"moderate",IF(X439&lt;81,"severe","profound")))))</f>
        <v/>
      </c>
      <c r="Z439">
        <f>IF(X439="","",IF(OR(ABS(X439-25)&lt;=5,ABS(X439-40)&lt;=5,ABS(X439-60)&lt;=5,ABS(X439-80)&lt;=5),1,0))</f>
        <v/>
      </c>
      <c r="AA439">
        <f>IF(MAX(ABS(G439-H439),ABS(H439-I439),ABS(I439-J439),ABS(J439-K439),ABS(K439-L439),ABS(L439-M439),ABS(M439-N439))&gt;40,1,0)</f>
        <v/>
      </c>
    </row>
    <row r="440">
      <c r="X440">
        <f>IF(COUNT(H440,I440,J440,L440)&lt;4,"",ROUND(AVERAGE(H440,I440,J440,L440),1))</f>
        <v/>
      </c>
      <c r="Y440">
        <f>IF(X440="","",IF(X440&lt;26,"normal",IF(X440&lt;41,"mild",IF(X440&lt;61,"moderate",IF(X440&lt;81,"severe","profound")))))</f>
        <v/>
      </c>
      <c r="Z440">
        <f>IF(X440="","",IF(OR(ABS(X440-25)&lt;=5,ABS(X440-40)&lt;=5,ABS(X440-60)&lt;=5,ABS(X440-80)&lt;=5),1,0))</f>
        <v/>
      </c>
      <c r="AA440">
        <f>IF(MAX(ABS(G440-H440),ABS(H440-I440),ABS(I440-J440),ABS(J440-K440),ABS(K440-L440),ABS(L440-M440),ABS(M440-N440))&gt;40,1,0)</f>
        <v/>
      </c>
    </row>
    <row r="441">
      <c r="X441">
        <f>IF(COUNT(H441,I441,J441,L441)&lt;4,"",ROUND(AVERAGE(H441,I441,J441,L441),1))</f>
        <v/>
      </c>
      <c r="Y441">
        <f>IF(X441="","",IF(X441&lt;26,"normal",IF(X441&lt;41,"mild",IF(X441&lt;61,"moderate",IF(X441&lt;81,"severe","profound")))))</f>
        <v/>
      </c>
      <c r="Z441">
        <f>IF(X441="","",IF(OR(ABS(X441-25)&lt;=5,ABS(X441-40)&lt;=5,ABS(X441-60)&lt;=5,ABS(X441-80)&lt;=5),1,0))</f>
        <v/>
      </c>
      <c r="AA441">
        <f>IF(MAX(ABS(G441-H441),ABS(H441-I441),ABS(I441-J441),ABS(J441-K441),ABS(K441-L441),ABS(L441-M441),ABS(M441-N441))&gt;40,1,0)</f>
        <v/>
      </c>
    </row>
    <row r="442">
      <c r="X442">
        <f>IF(COUNT(H442,I442,J442,L442)&lt;4,"",ROUND(AVERAGE(H442,I442,J442,L442),1))</f>
        <v/>
      </c>
      <c r="Y442">
        <f>IF(X442="","",IF(X442&lt;26,"normal",IF(X442&lt;41,"mild",IF(X442&lt;61,"moderate",IF(X442&lt;81,"severe","profound")))))</f>
        <v/>
      </c>
      <c r="Z442">
        <f>IF(X442="","",IF(OR(ABS(X442-25)&lt;=5,ABS(X442-40)&lt;=5,ABS(X442-60)&lt;=5,ABS(X442-80)&lt;=5),1,0))</f>
        <v/>
      </c>
      <c r="AA442">
        <f>IF(MAX(ABS(G442-H442),ABS(H442-I442),ABS(I442-J442),ABS(J442-K442),ABS(K442-L442),ABS(L442-M442),ABS(M442-N442))&gt;40,1,0)</f>
        <v/>
      </c>
    </row>
    <row r="443">
      <c r="X443">
        <f>IF(COUNT(H443,I443,J443,L443)&lt;4,"",ROUND(AVERAGE(H443,I443,J443,L443),1))</f>
        <v/>
      </c>
      <c r="Y443">
        <f>IF(X443="","",IF(X443&lt;26,"normal",IF(X443&lt;41,"mild",IF(X443&lt;61,"moderate",IF(X443&lt;81,"severe","profound")))))</f>
        <v/>
      </c>
      <c r="Z443">
        <f>IF(X443="","",IF(OR(ABS(X443-25)&lt;=5,ABS(X443-40)&lt;=5,ABS(X443-60)&lt;=5,ABS(X443-80)&lt;=5),1,0))</f>
        <v/>
      </c>
      <c r="AA443">
        <f>IF(MAX(ABS(G443-H443),ABS(H443-I443),ABS(I443-J443),ABS(J443-K443),ABS(K443-L443),ABS(L443-M443),ABS(M443-N443))&gt;40,1,0)</f>
        <v/>
      </c>
    </row>
    <row r="444">
      <c r="X444">
        <f>IF(COUNT(H444,I444,J444,L444)&lt;4,"",ROUND(AVERAGE(H444,I444,J444,L444),1))</f>
        <v/>
      </c>
      <c r="Y444">
        <f>IF(X444="","",IF(X444&lt;26,"normal",IF(X444&lt;41,"mild",IF(X444&lt;61,"moderate",IF(X444&lt;81,"severe","profound")))))</f>
        <v/>
      </c>
      <c r="Z444">
        <f>IF(X444="","",IF(OR(ABS(X444-25)&lt;=5,ABS(X444-40)&lt;=5,ABS(X444-60)&lt;=5,ABS(X444-80)&lt;=5),1,0))</f>
        <v/>
      </c>
      <c r="AA444">
        <f>IF(MAX(ABS(G444-H444),ABS(H444-I444),ABS(I444-J444),ABS(J444-K444),ABS(K444-L444),ABS(L444-M444),ABS(M444-N444))&gt;40,1,0)</f>
        <v/>
      </c>
    </row>
    <row r="445">
      <c r="X445">
        <f>IF(COUNT(H445,I445,J445,L445)&lt;4,"",ROUND(AVERAGE(H445,I445,J445,L445),1))</f>
        <v/>
      </c>
      <c r="Y445">
        <f>IF(X445="","",IF(X445&lt;26,"normal",IF(X445&lt;41,"mild",IF(X445&lt;61,"moderate",IF(X445&lt;81,"severe","profound")))))</f>
        <v/>
      </c>
      <c r="Z445">
        <f>IF(X445="","",IF(OR(ABS(X445-25)&lt;=5,ABS(X445-40)&lt;=5,ABS(X445-60)&lt;=5,ABS(X445-80)&lt;=5),1,0))</f>
        <v/>
      </c>
      <c r="AA445">
        <f>IF(MAX(ABS(G445-H445),ABS(H445-I445),ABS(I445-J445),ABS(J445-K445),ABS(K445-L445),ABS(L445-M445),ABS(M445-N445))&gt;40,1,0)</f>
        <v/>
      </c>
    </row>
    <row r="446">
      <c r="X446">
        <f>IF(COUNT(H446,I446,J446,L446)&lt;4,"",ROUND(AVERAGE(H446,I446,J446,L446),1))</f>
        <v/>
      </c>
      <c r="Y446">
        <f>IF(X446="","",IF(X446&lt;26,"normal",IF(X446&lt;41,"mild",IF(X446&lt;61,"moderate",IF(X446&lt;81,"severe","profound")))))</f>
        <v/>
      </c>
      <c r="Z446">
        <f>IF(X446="","",IF(OR(ABS(X446-25)&lt;=5,ABS(X446-40)&lt;=5,ABS(X446-60)&lt;=5,ABS(X446-80)&lt;=5),1,0))</f>
        <v/>
      </c>
      <c r="AA446">
        <f>IF(MAX(ABS(G446-H446),ABS(H446-I446),ABS(I446-J446),ABS(J446-K446),ABS(K446-L446),ABS(L446-M446),ABS(M446-N446))&gt;40,1,0)</f>
        <v/>
      </c>
    </row>
    <row r="447">
      <c r="X447">
        <f>IF(COUNT(H447,I447,J447,L447)&lt;4,"",ROUND(AVERAGE(H447,I447,J447,L447),1))</f>
        <v/>
      </c>
      <c r="Y447">
        <f>IF(X447="","",IF(X447&lt;26,"normal",IF(X447&lt;41,"mild",IF(X447&lt;61,"moderate",IF(X447&lt;81,"severe","profound")))))</f>
        <v/>
      </c>
      <c r="Z447">
        <f>IF(X447="","",IF(OR(ABS(X447-25)&lt;=5,ABS(X447-40)&lt;=5,ABS(X447-60)&lt;=5,ABS(X447-80)&lt;=5),1,0))</f>
        <v/>
      </c>
      <c r="AA447">
        <f>IF(MAX(ABS(G447-H447),ABS(H447-I447),ABS(I447-J447),ABS(J447-K447),ABS(K447-L447),ABS(L447-M447),ABS(M447-N447))&gt;40,1,0)</f>
        <v/>
      </c>
    </row>
    <row r="448">
      <c r="X448">
        <f>IF(COUNT(H448,I448,J448,L448)&lt;4,"",ROUND(AVERAGE(H448,I448,J448,L448),1))</f>
        <v/>
      </c>
      <c r="Y448">
        <f>IF(X448="","",IF(X448&lt;26,"normal",IF(X448&lt;41,"mild",IF(X448&lt;61,"moderate",IF(X448&lt;81,"severe","profound")))))</f>
        <v/>
      </c>
      <c r="Z448">
        <f>IF(X448="","",IF(OR(ABS(X448-25)&lt;=5,ABS(X448-40)&lt;=5,ABS(X448-60)&lt;=5,ABS(X448-80)&lt;=5),1,0))</f>
        <v/>
      </c>
      <c r="AA448">
        <f>IF(MAX(ABS(G448-H448),ABS(H448-I448),ABS(I448-J448),ABS(J448-K448),ABS(K448-L448),ABS(L448-M448),ABS(M448-N448))&gt;40,1,0)</f>
        <v/>
      </c>
    </row>
    <row r="449">
      <c r="X449">
        <f>IF(COUNT(H449,I449,J449,L449)&lt;4,"",ROUND(AVERAGE(H449,I449,J449,L449),1))</f>
        <v/>
      </c>
      <c r="Y449">
        <f>IF(X449="","",IF(X449&lt;26,"normal",IF(X449&lt;41,"mild",IF(X449&lt;61,"moderate",IF(X449&lt;81,"severe","profound")))))</f>
        <v/>
      </c>
      <c r="Z449">
        <f>IF(X449="","",IF(OR(ABS(X449-25)&lt;=5,ABS(X449-40)&lt;=5,ABS(X449-60)&lt;=5,ABS(X449-80)&lt;=5),1,0))</f>
        <v/>
      </c>
      <c r="AA449">
        <f>IF(MAX(ABS(G449-H449),ABS(H449-I449),ABS(I449-J449),ABS(J449-K449),ABS(K449-L449),ABS(L449-M449),ABS(M449-N449))&gt;40,1,0)</f>
        <v/>
      </c>
    </row>
    <row r="450">
      <c r="X450">
        <f>IF(COUNT(H450,I450,J450,L450)&lt;4,"",ROUND(AVERAGE(H450,I450,J450,L450),1))</f>
        <v/>
      </c>
      <c r="Y450">
        <f>IF(X450="","",IF(X450&lt;26,"normal",IF(X450&lt;41,"mild",IF(X450&lt;61,"moderate",IF(X450&lt;81,"severe","profound")))))</f>
        <v/>
      </c>
      <c r="Z450">
        <f>IF(X450="","",IF(OR(ABS(X450-25)&lt;=5,ABS(X450-40)&lt;=5,ABS(X450-60)&lt;=5,ABS(X450-80)&lt;=5),1,0))</f>
        <v/>
      </c>
      <c r="AA450">
        <f>IF(MAX(ABS(G450-H450),ABS(H450-I450),ABS(I450-J450),ABS(J450-K450),ABS(K450-L450),ABS(L450-M450),ABS(M450-N450))&gt;40,1,0)</f>
        <v/>
      </c>
    </row>
    <row r="451">
      <c r="X451">
        <f>IF(COUNT(H451,I451,J451,L451)&lt;4,"",ROUND(AVERAGE(H451,I451,J451,L451),1))</f>
        <v/>
      </c>
      <c r="Y451">
        <f>IF(X451="","",IF(X451&lt;26,"normal",IF(X451&lt;41,"mild",IF(X451&lt;61,"moderate",IF(X451&lt;81,"severe","profound")))))</f>
        <v/>
      </c>
      <c r="Z451">
        <f>IF(X451="","",IF(OR(ABS(X451-25)&lt;=5,ABS(X451-40)&lt;=5,ABS(X451-60)&lt;=5,ABS(X451-80)&lt;=5),1,0))</f>
        <v/>
      </c>
      <c r="AA451">
        <f>IF(MAX(ABS(G451-H451),ABS(H451-I451),ABS(I451-J451),ABS(J451-K451),ABS(K451-L451),ABS(L451-M451),ABS(M451-N451))&gt;40,1,0)</f>
        <v/>
      </c>
    </row>
    <row r="452">
      <c r="X452">
        <f>IF(COUNT(H452,I452,J452,L452)&lt;4,"",ROUND(AVERAGE(H452,I452,J452,L452),1))</f>
        <v/>
      </c>
      <c r="Y452">
        <f>IF(X452="","",IF(X452&lt;26,"normal",IF(X452&lt;41,"mild",IF(X452&lt;61,"moderate",IF(X452&lt;81,"severe","profound")))))</f>
        <v/>
      </c>
      <c r="Z452">
        <f>IF(X452="","",IF(OR(ABS(X452-25)&lt;=5,ABS(X452-40)&lt;=5,ABS(X452-60)&lt;=5,ABS(X452-80)&lt;=5),1,0))</f>
        <v/>
      </c>
      <c r="AA452">
        <f>IF(MAX(ABS(G452-H452),ABS(H452-I452),ABS(I452-J452),ABS(J452-K452),ABS(K452-L452),ABS(L452-M452),ABS(M452-N452))&gt;40,1,0)</f>
        <v/>
      </c>
    </row>
    <row r="453">
      <c r="X453">
        <f>IF(COUNT(H453,I453,J453,L453)&lt;4,"",ROUND(AVERAGE(H453,I453,J453,L453),1))</f>
        <v/>
      </c>
      <c r="Y453">
        <f>IF(X453="","",IF(X453&lt;26,"normal",IF(X453&lt;41,"mild",IF(X453&lt;61,"moderate",IF(X453&lt;81,"severe","profound")))))</f>
        <v/>
      </c>
      <c r="Z453">
        <f>IF(X453="","",IF(OR(ABS(X453-25)&lt;=5,ABS(X453-40)&lt;=5,ABS(X453-60)&lt;=5,ABS(X453-80)&lt;=5),1,0))</f>
        <v/>
      </c>
      <c r="AA453">
        <f>IF(MAX(ABS(G453-H453),ABS(H453-I453),ABS(I453-J453),ABS(J453-K453),ABS(K453-L453),ABS(L453-M453),ABS(M453-N453))&gt;40,1,0)</f>
        <v/>
      </c>
    </row>
    <row r="454">
      <c r="X454">
        <f>IF(COUNT(H454,I454,J454,L454)&lt;4,"",ROUND(AVERAGE(H454,I454,J454,L454),1))</f>
        <v/>
      </c>
      <c r="Y454">
        <f>IF(X454="","",IF(X454&lt;26,"normal",IF(X454&lt;41,"mild",IF(X454&lt;61,"moderate",IF(X454&lt;81,"severe","profound")))))</f>
        <v/>
      </c>
      <c r="Z454">
        <f>IF(X454="","",IF(OR(ABS(X454-25)&lt;=5,ABS(X454-40)&lt;=5,ABS(X454-60)&lt;=5,ABS(X454-80)&lt;=5),1,0))</f>
        <v/>
      </c>
      <c r="AA454">
        <f>IF(MAX(ABS(G454-H454),ABS(H454-I454),ABS(I454-J454),ABS(J454-K454),ABS(K454-L454),ABS(L454-M454),ABS(M454-N454))&gt;40,1,0)</f>
        <v/>
      </c>
    </row>
    <row r="455">
      <c r="X455">
        <f>IF(COUNT(H455,I455,J455,L455)&lt;4,"",ROUND(AVERAGE(H455,I455,J455,L455),1))</f>
        <v/>
      </c>
      <c r="Y455">
        <f>IF(X455="","",IF(X455&lt;26,"normal",IF(X455&lt;41,"mild",IF(X455&lt;61,"moderate",IF(X455&lt;81,"severe","profound")))))</f>
        <v/>
      </c>
      <c r="Z455">
        <f>IF(X455="","",IF(OR(ABS(X455-25)&lt;=5,ABS(X455-40)&lt;=5,ABS(X455-60)&lt;=5,ABS(X455-80)&lt;=5),1,0))</f>
        <v/>
      </c>
      <c r="AA455">
        <f>IF(MAX(ABS(G455-H455),ABS(H455-I455),ABS(I455-J455),ABS(J455-K455),ABS(K455-L455),ABS(L455-M455),ABS(M455-N455))&gt;40,1,0)</f>
        <v/>
      </c>
    </row>
    <row r="456">
      <c r="X456">
        <f>IF(COUNT(H456,I456,J456,L456)&lt;4,"",ROUND(AVERAGE(H456,I456,J456,L456),1))</f>
        <v/>
      </c>
      <c r="Y456">
        <f>IF(X456="","",IF(X456&lt;26,"normal",IF(X456&lt;41,"mild",IF(X456&lt;61,"moderate",IF(X456&lt;81,"severe","profound")))))</f>
        <v/>
      </c>
      <c r="Z456">
        <f>IF(X456="","",IF(OR(ABS(X456-25)&lt;=5,ABS(X456-40)&lt;=5,ABS(X456-60)&lt;=5,ABS(X456-80)&lt;=5),1,0))</f>
        <v/>
      </c>
      <c r="AA456">
        <f>IF(MAX(ABS(G456-H456),ABS(H456-I456),ABS(I456-J456),ABS(J456-K456),ABS(K456-L456),ABS(L456-M456),ABS(M456-N456))&gt;40,1,0)</f>
        <v/>
      </c>
    </row>
    <row r="457">
      <c r="X457">
        <f>IF(COUNT(H457,I457,J457,L457)&lt;4,"",ROUND(AVERAGE(H457,I457,J457,L457),1))</f>
        <v/>
      </c>
      <c r="Y457">
        <f>IF(X457="","",IF(X457&lt;26,"normal",IF(X457&lt;41,"mild",IF(X457&lt;61,"moderate",IF(X457&lt;81,"severe","profound")))))</f>
        <v/>
      </c>
      <c r="Z457">
        <f>IF(X457="","",IF(OR(ABS(X457-25)&lt;=5,ABS(X457-40)&lt;=5,ABS(X457-60)&lt;=5,ABS(X457-80)&lt;=5),1,0))</f>
        <v/>
      </c>
      <c r="AA457">
        <f>IF(MAX(ABS(G457-H457),ABS(H457-I457),ABS(I457-J457),ABS(J457-K457),ABS(K457-L457),ABS(L457-M457),ABS(M457-N457))&gt;40,1,0)</f>
        <v/>
      </c>
    </row>
    <row r="458">
      <c r="X458">
        <f>IF(COUNT(H458,I458,J458,L458)&lt;4,"",ROUND(AVERAGE(H458,I458,J458,L458),1))</f>
        <v/>
      </c>
      <c r="Y458">
        <f>IF(X458="","",IF(X458&lt;26,"normal",IF(X458&lt;41,"mild",IF(X458&lt;61,"moderate",IF(X458&lt;81,"severe","profound")))))</f>
        <v/>
      </c>
      <c r="Z458">
        <f>IF(X458="","",IF(OR(ABS(X458-25)&lt;=5,ABS(X458-40)&lt;=5,ABS(X458-60)&lt;=5,ABS(X458-80)&lt;=5),1,0))</f>
        <v/>
      </c>
      <c r="AA458">
        <f>IF(MAX(ABS(G458-H458),ABS(H458-I458),ABS(I458-J458),ABS(J458-K458),ABS(K458-L458),ABS(L458-M458),ABS(M458-N458))&gt;40,1,0)</f>
        <v/>
      </c>
    </row>
    <row r="459">
      <c r="X459">
        <f>IF(COUNT(H459,I459,J459,L459)&lt;4,"",ROUND(AVERAGE(H459,I459,J459,L459),1))</f>
        <v/>
      </c>
      <c r="Y459">
        <f>IF(X459="","",IF(X459&lt;26,"normal",IF(X459&lt;41,"mild",IF(X459&lt;61,"moderate",IF(X459&lt;81,"severe","profound")))))</f>
        <v/>
      </c>
      <c r="Z459">
        <f>IF(X459="","",IF(OR(ABS(X459-25)&lt;=5,ABS(X459-40)&lt;=5,ABS(X459-60)&lt;=5,ABS(X459-80)&lt;=5),1,0))</f>
        <v/>
      </c>
      <c r="AA459">
        <f>IF(MAX(ABS(G459-H459),ABS(H459-I459),ABS(I459-J459),ABS(J459-K459),ABS(K459-L459),ABS(L459-M459),ABS(M459-N459))&gt;40,1,0)</f>
        <v/>
      </c>
    </row>
    <row r="460">
      <c r="X460">
        <f>IF(COUNT(H460,I460,J460,L460)&lt;4,"",ROUND(AVERAGE(H460,I460,J460,L460),1))</f>
        <v/>
      </c>
      <c r="Y460">
        <f>IF(X460="","",IF(X460&lt;26,"normal",IF(X460&lt;41,"mild",IF(X460&lt;61,"moderate",IF(X460&lt;81,"severe","profound")))))</f>
        <v/>
      </c>
      <c r="Z460">
        <f>IF(X460="","",IF(OR(ABS(X460-25)&lt;=5,ABS(X460-40)&lt;=5,ABS(X460-60)&lt;=5,ABS(X460-80)&lt;=5),1,0))</f>
        <v/>
      </c>
      <c r="AA460">
        <f>IF(MAX(ABS(G460-H460),ABS(H460-I460),ABS(I460-J460),ABS(J460-K460),ABS(K460-L460),ABS(L460-M460),ABS(M460-N460))&gt;40,1,0)</f>
        <v/>
      </c>
    </row>
    <row r="461">
      <c r="X461">
        <f>IF(COUNT(H461,I461,J461,L461)&lt;4,"",ROUND(AVERAGE(H461,I461,J461,L461),1))</f>
        <v/>
      </c>
      <c r="Y461">
        <f>IF(X461="","",IF(X461&lt;26,"normal",IF(X461&lt;41,"mild",IF(X461&lt;61,"moderate",IF(X461&lt;81,"severe","profound")))))</f>
        <v/>
      </c>
      <c r="Z461">
        <f>IF(X461="","",IF(OR(ABS(X461-25)&lt;=5,ABS(X461-40)&lt;=5,ABS(X461-60)&lt;=5,ABS(X461-80)&lt;=5),1,0))</f>
        <v/>
      </c>
      <c r="AA461">
        <f>IF(MAX(ABS(G461-H461),ABS(H461-I461),ABS(I461-J461),ABS(J461-K461),ABS(K461-L461),ABS(L461-M461),ABS(M461-N461))&gt;40,1,0)</f>
        <v/>
      </c>
    </row>
    <row r="462">
      <c r="X462">
        <f>IF(COUNT(H462,I462,J462,L462)&lt;4,"",ROUND(AVERAGE(H462,I462,J462,L462),1))</f>
        <v/>
      </c>
      <c r="Y462">
        <f>IF(X462="","",IF(X462&lt;26,"normal",IF(X462&lt;41,"mild",IF(X462&lt;61,"moderate",IF(X462&lt;81,"severe","profound")))))</f>
        <v/>
      </c>
      <c r="Z462">
        <f>IF(X462="","",IF(OR(ABS(X462-25)&lt;=5,ABS(X462-40)&lt;=5,ABS(X462-60)&lt;=5,ABS(X462-80)&lt;=5),1,0))</f>
        <v/>
      </c>
      <c r="AA462">
        <f>IF(MAX(ABS(G462-H462),ABS(H462-I462),ABS(I462-J462),ABS(J462-K462),ABS(K462-L462),ABS(L462-M462),ABS(M462-N462))&gt;40,1,0)</f>
        <v/>
      </c>
    </row>
    <row r="463">
      <c r="X463">
        <f>IF(COUNT(H463,I463,J463,L463)&lt;4,"",ROUND(AVERAGE(H463,I463,J463,L463),1))</f>
        <v/>
      </c>
      <c r="Y463">
        <f>IF(X463="","",IF(X463&lt;26,"normal",IF(X463&lt;41,"mild",IF(X463&lt;61,"moderate",IF(X463&lt;81,"severe","profound")))))</f>
        <v/>
      </c>
      <c r="Z463">
        <f>IF(X463="","",IF(OR(ABS(X463-25)&lt;=5,ABS(X463-40)&lt;=5,ABS(X463-60)&lt;=5,ABS(X463-80)&lt;=5),1,0))</f>
        <v/>
      </c>
      <c r="AA463">
        <f>IF(MAX(ABS(G463-H463),ABS(H463-I463),ABS(I463-J463),ABS(J463-K463),ABS(K463-L463),ABS(L463-M463),ABS(M463-N463))&gt;40,1,0)</f>
        <v/>
      </c>
    </row>
    <row r="464">
      <c r="X464">
        <f>IF(COUNT(H464,I464,J464,L464)&lt;4,"",ROUND(AVERAGE(H464,I464,J464,L464),1))</f>
        <v/>
      </c>
      <c r="Y464">
        <f>IF(X464="","",IF(X464&lt;26,"normal",IF(X464&lt;41,"mild",IF(X464&lt;61,"moderate",IF(X464&lt;81,"severe","profound")))))</f>
        <v/>
      </c>
      <c r="Z464">
        <f>IF(X464="","",IF(OR(ABS(X464-25)&lt;=5,ABS(X464-40)&lt;=5,ABS(X464-60)&lt;=5,ABS(X464-80)&lt;=5),1,0))</f>
        <v/>
      </c>
      <c r="AA464">
        <f>IF(MAX(ABS(G464-H464),ABS(H464-I464),ABS(I464-J464),ABS(J464-K464),ABS(K464-L464),ABS(L464-M464),ABS(M464-N464))&gt;40,1,0)</f>
        <v/>
      </c>
    </row>
    <row r="465">
      <c r="X465">
        <f>IF(COUNT(H465,I465,J465,L465)&lt;4,"",ROUND(AVERAGE(H465,I465,J465,L465),1))</f>
        <v/>
      </c>
      <c r="Y465">
        <f>IF(X465="","",IF(X465&lt;26,"normal",IF(X465&lt;41,"mild",IF(X465&lt;61,"moderate",IF(X465&lt;81,"severe","profound")))))</f>
        <v/>
      </c>
      <c r="Z465">
        <f>IF(X465="","",IF(OR(ABS(X465-25)&lt;=5,ABS(X465-40)&lt;=5,ABS(X465-60)&lt;=5,ABS(X465-80)&lt;=5),1,0))</f>
        <v/>
      </c>
      <c r="AA465">
        <f>IF(MAX(ABS(G465-H465),ABS(H465-I465),ABS(I465-J465),ABS(J465-K465),ABS(K465-L465),ABS(L465-M465),ABS(M465-N465))&gt;40,1,0)</f>
        <v/>
      </c>
    </row>
    <row r="466">
      <c r="X466">
        <f>IF(COUNT(H466,I466,J466,L466)&lt;4,"",ROUND(AVERAGE(H466,I466,J466,L466),1))</f>
        <v/>
      </c>
      <c r="Y466">
        <f>IF(X466="","",IF(X466&lt;26,"normal",IF(X466&lt;41,"mild",IF(X466&lt;61,"moderate",IF(X466&lt;81,"severe","profound")))))</f>
        <v/>
      </c>
      <c r="Z466">
        <f>IF(X466="","",IF(OR(ABS(X466-25)&lt;=5,ABS(X466-40)&lt;=5,ABS(X466-60)&lt;=5,ABS(X466-80)&lt;=5),1,0))</f>
        <v/>
      </c>
      <c r="AA466">
        <f>IF(MAX(ABS(G466-H466),ABS(H466-I466),ABS(I466-J466),ABS(J466-K466),ABS(K466-L466),ABS(L466-M466),ABS(M466-N466))&gt;40,1,0)</f>
        <v/>
      </c>
    </row>
    <row r="467">
      <c r="X467">
        <f>IF(COUNT(H467,I467,J467,L467)&lt;4,"",ROUND(AVERAGE(H467,I467,J467,L467),1))</f>
        <v/>
      </c>
      <c r="Y467">
        <f>IF(X467="","",IF(X467&lt;26,"normal",IF(X467&lt;41,"mild",IF(X467&lt;61,"moderate",IF(X467&lt;81,"severe","profound")))))</f>
        <v/>
      </c>
      <c r="Z467">
        <f>IF(X467="","",IF(OR(ABS(X467-25)&lt;=5,ABS(X467-40)&lt;=5,ABS(X467-60)&lt;=5,ABS(X467-80)&lt;=5),1,0))</f>
        <v/>
      </c>
      <c r="AA467">
        <f>IF(MAX(ABS(G467-H467),ABS(H467-I467),ABS(I467-J467),ABS(J467-K467),ABS(K467-L467),ABS(L467-M467),ABS(M467-N467))&gt;40,1,0)</f>
        <v/>
      </c>
    </row>
    <row r="468">
      <c r="X468">
        <f>IF(COUNT(H468,I468,J468,L468)&lt;4,"",ROUND(AVERAGE(H468,I468,J468,L468),1))</f>
        <v/>
      </c>
      <c r="Y468">
        <f>IF(X468="","",IF(X468&lt;26,"normal",IF(X468&lt;41,"mild",IF(X468&lt;61,"moderate",IF(X468&lt;81,"severe","profound")))))</f>
        <v/>
      </c>
      <c r="Z468">
        <f>IF(X468="","",IF(OR(ABS(X468-25)&lt;=5,ABS(X468-40)&lt;=5,ABS(X468-60)&lt;=5,ABS(X468-80)&lt;=5),1,0))</f>
        <v/>
      </c>
      <c r="AA468">
        <f>IF(MAX(ABS(G468-H468),ABS(H468-I468),ABS(I468-J468),ABS(J468-K468),ABS(K468-L468),ABS(L468-M468),ABS(M468-N468))&gt;40,1,0)</f>
        <v/>
      </c>
    </row>
    <row r="469">
      <c r="X469">
        <f>IF(COUNT(H469,I469,J469,L469)&lt;4,"",ROUND(AVERAGE(H469,I469,J469,L469),1))</f>
        <v/>
      </c>
      <c r="Y469">
        <f>IF(X469="","",IF(X469&lt;26,"normal",IF(X469&lt;41,"mild",IF(X469&lt;61,"moderate",IF(X469&lt;81,"severe","profound")))))</f>
        <v/>
      </c>
      <c r="Z469">
        <f>IF(X469="","",IF(OR(ABS(X469-25)&lt;=5,ABS(X469-40)&lt;=5,ABS(X469-60)&lt;=5,ABS(X469-80)&lt;=5),1,0))</f>
        <v/>
      </c>
      <c r="AA469">
        <f>IF(MAX(ABS(G469-H469),ABS(H469-I469),ABS(I469-J469),ABS(J469-K469),ABS(K469-L469),ABS(L469-M469),ABS(M469-N469))&gt;40,1,0)</f>
        <v/>
      </c>
    </row>
    <row r="470">
      <c r="X470">
        <f>IF(COUNT(H470,I470,J470,L470)&lt;4,"",ROUND(AVERAGE(H470,I470,J470,L470),1))</f>
        <v/>
      </c>
      <c r="Y470">
        <f>IF(X470="","",IF(X470&lt;26,"normal",IF(X470&lt;41,"mild",IF(X470&lt;61,"moderate",IF(X470&lt;81,"severe","profound")))))</f>
        <v/>
      </c>
      <c r="Z470">
        <f>IF(X470="","",IF(OR(ABS(X470-25)&lt;=5,ABS(X470-40)&lt;=5,ABS(X470-60)&lt;=5,ABS(X470-80)&lt;=5),1,0))</f>
        <v/>
      </c>
      <c r="AA470">
        <f>IF(MAX(ABS(G470-H470),ABS(H470-I470),ABS(I470-J470),ABS(J470-K470),ABS(K470-L470),ABS(L470-M470),ABS(M470-N470))&gt;40,1,0)</f>
        <v/>
      </c>
    </row>
    <row r="471">
      <c r="X471">
        <f>IF(COUNT(H471,I471,J471,L471)&lt;4,"",ROUND(AVERAGE(H471,I471,J471,L471),1))</f>
        <v/>
      </c>
      <c r="Y471">
        <f>IF(X471="","",IF(X471&lt;26,"normal",IF(X471&lt;41,"mild",IF(X471&lt;61,"moderate",IF(X471&lt;81,"severe","profound")))))</f>
        <v/>
      </c>
      <c r="Z471">
        <f>IF(X471="","",IF(OR(ABS(X471-25)&lt;=5,ABS(X471-40)&lt;=5,ABS(X471-60)&lt;=5,ABS(X471-80)&lt;=5),1,0))</f>
        <v/>
      </c>
      <c r="AA471">
        <f>IF(MAX(ABS(G471-H471),ABS(H471-I471),ABS(I471-J471),ABS(J471-K471),ABS(K471-L471),ABS(L471-M471),ABS(M471-N471))&gt;40,1,0)</f>
        <v/>
      </c>
    </row>
    <row r="472">
      <c r="X472">
        <f>IF(COUNT(H472,I472,J472,L472)&lt;4,"",ROUND(AVERAGE(H472,I472,J472,L472),1))</f>
        <v/>
      </c>
      <c r="Y472">
        <f>IF(X472="","",IF(X472&lt;26,"normal",IF(X472&lt;41,"mild",IF(X472&lt;61,"moderate",IF(X472&lt;81,"severe","profound")))))</f>
        <v/>
      </c>
      <c r="Z472">
        <f>IF(X472="","",IF(OR(ABS(X472-25)&lt;=5,ABS(X472-40)&lt;=5,ABS(X472-60)&lt;=5,ABS(X472-80)&lt;=5),1,0))</f>
        <v/>
      </c>
      <c r="AA472">
        <f>IF(MAX(ABS(G472-H472),ABS(H472-I472),ABS(I472-J472),ABS(J472-K472),ABS(K472-L472),ABS(L472-M472),ABS(M472-N472))&gt;40,1,0)</f>
        <v/>
      </c>
    </row>
    <row r="473">
      <c r="X473">
        <f>IF(COUNT(H473,I473,J473,L473)&lt;4,"",ROUND(AVERAGE(H473,I473,J473,L473),1))</f>
        <v/>
      </c>
      <c r="Y473">
        <f>IF(X473="","",IF(X473&lt;26,"normal",IF(X473&lt;41,"mild",IF(X473&lt;61,"moderate",IF(X473&lt;81,"severe","profound")))))</f>
        <v/>
      </c>
      <c r="Z473">
        <f>IF(X473="","",IF(OR(ABS(X473-25)&lt;=5,ABS(X473-40)&lt;=5,ABS(X473-60)&lt;=5,ABS(X473-80)&lt;=5),1,0))</f>
        <v/>
      </c>
      <c r="AA473">
        <f>IF(MAX(ABS(G473-H473),ABS(H473-I473),ABS(I473-J473),ABS(J473-K473),ABS(K473-L473),ABS(L473-M473),ABS(M473-N473))&gt;40,1,0)</f>
        <v/>
      </c>
    </row>
    <row r="474">
      <c r="X474">
        <f>IF(COUNT(H474,I474,J474,L474)&lt;4,"",ROUND(AVERAGE(H474,I474,J474,L474),1))</f>
        <v/>
      </c>
      <c r="Y474">
        <f>IF(X474="","",IF(X474&lt;26,"normal",IF(X474&lt;41,"mild",IF(X474&lt;61,"moderate",IF(X474&lt;81,"severe","profound")))))</f>
        <v/>
      </c>
      <c r="Z474">
        <f>IF(X474="","",IF(OR(ABS(X474-25)&lt;=5,ABS(X474-40)&lt;=5,ABS(X474-60)&lt;=5,ABS(X474-80)&lt;=5),1,0))</f>
        <v/>
      </c>
      <c r="AA474">
        <f>IF(MAX(ABS(G474-H474),ABS(H474-I474),ABS(I474-J474),ABS(J474-K474),ABS(K474-L474),ABS(L474-M474),ABS(M474-N474))&gt;40,1,0)</f>
        <v/>
      </c>
    </row>
    <row r="475">
      <c r="X475">
        <f>IF(COUNT(H475,I475,J475,L475)&lt;4,"",ROUND(AVERAGE(H475,I475,J475,L475),1))</f>
        <v/>
      </c>
      <c r="Y475">
        <f>IF(X475="","",IF(X475&lt;26,"normal",IF(X475&lt;41,"mild",IF(X475&lt;61,"moderate",IF(X475&lt;81,"severe","profound")))))</f>
        <v/>
      </c>
      <c r="Z475">
        <f>IF(X475="","",IF(OR(ABS(X475-25)&lt;=5,ABS(X475-40)&lt;=5,ABS(X475-60)&lt;=5,ABS(X475-80)&lt;=5),1,0))</f>
        <v/>
      </c>
      <c r="AA475">
        <f>IF(MAX(ABS(G475-H475),ABS(H475-I475),ABS(I475-J475),ABS(J475-K475),ABS(K475-L475),ABS(L475-M475),ABS(M475-N475))&gt;40,1,0)</f>
        <v/>
      </c>
    </row>
    <row r="476">
      <c r="X476">
        <f>IF(COUNT(H476,I476,J476,L476)&lt;4,"",ROUND(AVERAGE(H476,I476,J476,L476),1))</f>
        <v/>
      </c>
      <c r="Y476">
        <f>IF(X476="","",IF(X476&lt;26,"normal",IF(X476&lt;41,"mild",IF(X476&lt;61,"moderate",IF(X476&lt;81,"severe","profound")))))</f>
        <v/>
      </c>
      <c r="Z476">
        <f>IF(X476="","",IF(OR(ABS(X476-25)&lt;=5,ABS(X476-40)&lt;=5,ABS(X476-60)&lt;=5,ABS(X476-80)&lt;=5),1,0))</f>
        <v/>
      </c>
      <c r="AA476">
        <f>IF(MAX(ABS(G476-H476),ABS(H476-I476),ABS(I476-J476),ABS(J476-K476),ABS(K476-L476),ABS(L476-M476),ABS(M476-N476))&gt;40,1,0)</f>
        <v/>
      </c>
    </row>
    <row r="477">
      <c r="X477">
        <f>IF(COUNT(H477,I477,J477,L477)&lt;4,"",ROUND(AVERAGE(H477,I477,J477,L477),1))</f>
        <v/>
      </c>
      <c r="Y477">
        <f>IF(X477="","",IF(X477&lt;26,"normal",IF(X477&lt;41,"mild",IF(X477&lt;61,"moderate",IF(X477&lt;81,"severe","profound")))))</f>
        <v/>
      </c>
      <c r="Z477">
        <f>IF(X477="","",IF(OR(ABS(X477-25)&lt;=5,ABS(X477-40)&lt;=5,ABS(X477-60)&lt;=5,ABS(X477-80)&lt;=5),1,0))</f>
        <v/>
      </c>
      <c r="AA477">
        <f>IF(MAX(ABS(G477-H477),ABS(H477-I477),ABS(I477-J477),ABS(J477-K477),ABS(K477-L477),ABS(L477-M477),ABS(M477-N477))&gt;40,1,0)</f>
        <v/>
      </c>
    </row>
    <row r="478">
      <c r="X478">
        <f>IF(COUNT(H478,I478,J478,L478)&lt;4,"",ROUND(AVERAGE(H478,I478,J478,L478),1))</f>
        <v/>
      </c>
      <c r="Y478">
        <f>IF(X478="","",IF(X478&lt;26,"normal",IF(X478&lt;41,"mild",IF(X478&lt;61,"moderate",IF(X478&lt;81,"severe","profound")))))</f>
        <v/>
      </c>
      <c r="Z478">
        <f>IF(X478="","",IF(OR(ABS(X478-25)&lt;=5,ABS(X478-40)&lt;=5,ABS(X478-60)&lt;=5,ABS(X478-80)&lt;=5),1,0))</f>
        <v/>
      </c>
      <c r="AA478">
        <f>IF(MAX(ABS(G478-H478),ABS(H478-I478),ABS(I478-J478),ABS(J478-K478),ABS(K478-L478),ABS(L478-M478),ABS(M478-N478))&gt;40,1,0)</f>
        <v/>
      </c>
    </row>
    <row r="479">
      <c r="X479">
        <f>IF(COUNT(H479,I479,J479,L479)&lt;4,"",ROUND(AVERAGE(H479,I479,J479,L479),1))</f>
        <v/>
      </c>
      <c r="Y479">
        <f>IF(X479="","",IF(X479&lt;26,"normal",IF(X479&lt;41,"mild",IF(X479&lt;61,"moderate",IF(X479&lt;81,"severe","profound")))))</f>
        <v/>
      </c>
      <c r="Z479">
        <f>IF(X479="","",IF(OR(ABS(X479-25)&lt;=5,ABS(X479-40)&lt;=5,ABS(X479-60)&lt;=5,ABS(X479-80)&lt;=5),1,0))</f>
        <v/>
      </c>
      <c r="AA479">
        <f>IF(MAX(ABS(G479-H479),ABS(H479-I479),ABS(I479-J479),ABS(J479-K479),ABS(K479-L479),ABS(L479-M479),ABS(M479-N479))&gt;40,1,0)</f>
        <v/>
      </c>
    </row>
    <row r="480">
      <c r="X480">
        <f>IF(COUNT(H480,I480,J480,L480)&lt;4,"",ROUND(AVERAGE(H480,I480,J480,L480),1))</f>
        <v/>
      </c>
      <c r="Y480">
        <f>IF(X480="","",IF(X480&lt;26,"normal",IF(X480&lt;41,"mild",IF(X480&lt;61,"moderate",IF(X480&lt;81,"severe","profound")))))</f>
        <v/>
      </c>
      <c r="Z480">
        <f>IF(X480="","",IF(OR(ABS(X480-25)&lt;=5,ABS(X480-40)&lt;=5,ABS(X480-60)&lt;=5,ABS(X480-80)&lt;=5),1,0))</f>
        <v/>
      </c>
      <c r="AA480">
        <f>IF(MAX(ABS(G480-H480),ABS(H480-I480),ABS(I480-J480),ABS(J480-K480),ABS(K480-L480),ABS(L480-M480),ABS(M480-N480))&gt;40,1,0)</f>
        <v/>
      </c>
    </row>
    <row r="481">
      <c r="X481">
        <f>IF(COUNT(H481,I481,J481,L481)&lt;4,"",ROUND(AVERAGE(H481,I481,J481,L481),1))</f>
        <v/>
      </c>
      <c r="Y481">
        <f>IF(X481="","",IF(X481&lt;26,"normal",IF(X481&lt;41,"mild",IF(X481&lt;61,"moderate",IF(X481&lt;81,"severe","profound")))))</f>
        <v/>
      </c>
      <c r="Z481">
        <f>IF(X481="","",IF(OR(ABS(X481-25)&lt;=5,ABS(X481-40)&lt;=5,ABS(X481-60)&lt;=5,ABS(X481-80)&lt;=5),1,0))</f>
        <v/>
      </c>
      <c r="AA481">
        <f>IF(MAX(ABS(G481-H481),ABS(H481-I481),ABS(I481-J481),ABS(J481-K481),ABS(K481-L481),ABS(L481-M481),ABS(M481-N481))&gt;40,1,0)</f>
        <v/>
      </c>
    </row>
    <row r="482">
      <c r="X482">
        <f>IF(COUNT(H482,I482,J482,L482)&lt;4,"",ROUND(AVERAGE(H482,I482,J482,L482),1))</f>
        <v/>
      </c>
      <c r="Y482">
        <f>IF(X482="","",IF(X482&lt;26,"normal",IF(X482&lt;41,"mild",IF(X482&lt;61,"moderate",IF(X482&lt;81,"severe","profound")))))</f>
        <v/>
      </c>
      <c r="Z482">
        <f>IF(X482="","",IF(OR(ABS(X482-25)&lt;=5,ABS(X482-40)&lt;=5,ABS(X482-60)&lt;=5,ABS(X482-80)&lt;=5),1,0))</f>
        <v/>
      </c>
      <c r="AA482">
        <f>IF(MAX(ABS(G482-H482),ABS(H482-I482),ABS(I482-J482),ABS(J482-K482),ABS(K482-L482),ABS(L482-M482),ABS(M482-N482))&gt;40,1,0)</f>
        <v/>
      </c>
    </row>
    <row r="483">
      <c r="X483">
        <f>IF(COUNT(H483,I483,J483,L483)&lt;4,"",ROUND(AVERAGE(H483,I483,J483,L483),1))</f>
        <v/>
      </c>
      <c r="Y483">
        <f>IF(X483="","",IF(X483&lt;26,"normal",IF(X483&lt;41,"mild",IF(X483&lt;61,"moderate",IF(X483&lt;81,"severe","profound")))))</f>
        <v/>
      </c>
      <c r="Z483">
        <f>IF(X483="","",IF(OR(ABS(X483-25)&lt;=5,ABS(X483-40)&lt;=5,ABS(X483-60)&lt;=5,ABS(X483-80)&lt;=5),1,0))</f>
        <v/>
      </c>
      <c r="AA483">
        <f>IF(MAX(ABS(G483-H483),ABS(H483-I483),ABS(I483-J483),ABS(J483-K483),ABS(K483-L483),ABS(L483-M483),ABS(M483-N483))&gt;40,1,0)</f>
        <v/>
      </c>
    </row>
    <row r="484">
      <c r="X484">
        <f>IF(COUNT(H484,I484,J484,L484)&lt;4,"",ROUND(AVERAGE(H484,I484,J484,L484),1))</f>
        <v/>
      </c>
      <c r="Y484">
        <f>IF(X484="","",IF(X484&lt;26,"normal",IF(X484&lt;41,"mild",IF(X484&lt;61,"moderate",IF(X484&lt;81,"severe","profound")))))</f>
        <v/>
      </c>
      <c r="Z484">
        <f>IF(X484="","",IF(OR(ABS(X484-25)&lt;=5,ABS(X484-40)&lt;=5,ABS(X484-60)&lt;=5,ABS(X484-80)&lt;=5),1,0))</f>
        <v/>
      </c>
      <c r="AA484">
        <f>IF(MAX(ABS(G484-H484),ABS(H484-I484),ABS(I484-J484),ABS(J484-K484),ABS(K484-L484),ABS(L484-M484),ABS(M484-N484))&gt;40,1,0)</f>
        <v/>
      </c>
    </row>
    <row r="485">
      <c r="X485">
        <f>IF(COUNT(H485,I485,J485,L485)&lt;4,"",ROUND(AVERAGE(H485,I485,J485,L485),1))</f>
        <v/>
      </c>
      <c r="Y485">
        <f>IF(X485="","",IF(X485&lt;26,"normal",IF(X485&lt;41,"mild",IF(X485&lt;61,"moderate",IF(X485&lt;81,"severe","profound")))))</f>
        <v/>
      </c>
      <c r="Z485">
        <f>IF(X485="","",IF(OR(ABS(X485-25)&lt;=5,ABS(X485-40)&lt;=5,ABS(X485-60)&lt;=5,ABS(X485-80)&lt;=5),1,0))</f>
        <v/>
      </c>
      <c r="AA485">
        <f>IF(MAX(ABS(G485-H485),ABS(H485-I485),ABS(I485-J485),ABS(J485-K485),ABS(K485-L485),ABS(L485-M485),ABS(M485-N485))&gt;40,1,0)</f>
        <v/>
      </c>
    </row>
    <row r="486">
      <c r="X486">
        <f>IF(COUNT(H486,I486,J486,L486)&lt;4,"",ROUND(AVERAGE(H486,I486,J486,L486),1))</f>
        <v/>
      </c>
      <c r="Y486">
        <f>IF(X486="","",IF(X486&lt;26,"normal",IF(X486&lt;41,"mild",IF(X486&lt;61,"moderate",IF(X486&lt;81,"severe","profound")))))</f>
        <v/>
      </c>
      <c r="Z486">
        <f>IF(X486="","",IF(OR(ABS(X486-25)&lt;=5,ABS(X486-40)&lt;=5,ABS(X486-60)&lt;=5,ABS(X486-80)&lt;=5),1,0))</f>
        <v/>
      </c>
      <c r="AA486">
        <f>IF(MAX(ABS(G486-H486),ABS(H486-I486),ABS(I486-J486),ABS(J486-K486),ABS(K486-L486),ABS(L486-M486),ABS(M486-N486))&gt;40,1,0)</f>
        <v/>
      </c>
    </row>
    <row r="487">
      <c r="X487">
        <f>IF(COUNT(H487,I487,J487,L487)&lt;4,"",ROUND(AVERAGE(H487,I487,J487,L487),1))</f>
        <v/>
      </c>
      <c r="Y487">
        <f>IF(X487="","",IF(X487&lt;26,"normal",IF(X487&lt;41,"mild",IF(X487&lt;61,"moderate",IF(X487&lt;81,"severe","profound")))))</f>
        <v/>
      </c>
      <c r="Z487">
        <f>IF(X487="","",IF(OR(ABS(X487-25)&lt;=5,ABS(X487-40)&lt;=5,ABS(X487-60)&lt;=5,ABS(X487-80)&lt;=5),1,0))</f>
        <v/>
      </c>
      <c r="AA487">
        <f>IF(MAX(ABS(G487-H487),ABS(H487-I487),ABS(I487-J487),ABS(J487-K487),ABS(K487-L487),ABS(L487-M487),ABS(M487-N487))&gt;40,1,0)</f>
        <v/>
      </c>
    </row>
    <row r="488">
      <c r="X488">
        <f>IF(COUNT(H488,I488,J488,L488)&lt;4,"",ROUND(AVERAGE(H488,I488,J488,L488),1))</f>
        <v/>
      </c>
      <c r="Y488">
        <f>IF(X488="","",IF(X488&lt;26,"normal",IF(X488&lt;41,"mild",IF(X488&lt;61,"moderate",IF(X488&lt;81,"severe","profound")))))</f>
        <v/>
      </c>
      <c r="Z488">
        <f>IF(X488="","",IF(OR(ABS(X488-25)&lt;=5,ABS(X488-40)&lt;=5,ABS(X488-60)&lt;=5,ABS(X488-80)&lt;=5),1,0))</f>
        <v/>
      </c>
      <c r="AA488">
        <f>IF(MAX(ABS(G488-H488),ABS(H488-I488),ABS(I488-J488),ABS(J488-K488),ABS(K488-L488),ABS(L488-M488),ABS(M488-N488))&gt;40,1,0)</f>
        <v/>
      </c>
    </row>
    <row r="489">
      <c r="X489">
        <f>IF(COUNT(H489,I489,J489,L489)&lt;4,"",ROUND(AVERAGE(H489,I489,J489,L489),1))</f>
        <v/>
      </c>
      <c r="Y489">
        <f>IF(X489="","",IF(X489&lt;26,"normal",IF(X489&lt;41,"mild",IF(X489&lt;61,"moderate",IF(X489&lt;81,"severe","profound")))))</f>
        <v/>
      </c>
      <c r="Z489">
        <f>IF(X489="","",IF(OR(ABS(X489-25)&lt;=5,ABS(X489-40)&lt;=5,ABS(X489-60)&lt;=5,ABS(X489-80)&lt;=5),1,0))</f>
        <v/>
      </c>
      <c r="AA489">
        <f>IF(MAX(ABS(G489-H489),ABS(H489-I489),ABS(I489-J489),ABS(J489-K489),ABS(K489-L489),ABS(L489-M489),ABS(M489-N489))&gt;40,1,0)</f>
        <v/>
      </c>
    </row>
    <row r="490">
      <c r="X490">
        <f>IF(COUNT(H490,I490,J490,L490)&lt;4,"",ROUND(AVERAGE(H490,I490,J490,L490),1))</f>
        <v/>
      </c>
      <c r="Y490">
        <f>IF(X490="","",IF(X490&lt;26,"normal",IF(X490&lt;41,"mild",IF(X490&lt;61,"moderate",IF(X490&lt;81,"severe","profound")))))</f>
        <v/>
      </c>
      <c r="Z490">
        <f>IF(X490="","",IF(OR(ABS(X490-25)&lt;=5,ABS(X490-40)&lt;=5,ABS(X490-60)&lt;=5,ABS(X490-80)&lt;=5),1,0))</f>
        <v/>
      </c>
      <c r="AA490">
        <f>IF(MAX(ABS(G490-H490),ABS(H490-I490),ABS(I490-J490),ABS(J490-K490),ABS(K490-L490),ABS(L490-M490),ABS(M490-N490))&gt;40,1,0)</f>
        <v/>
      </c>
    </row>
    <row r="491">
      <c r="X491">
        <f>IF(COUNT(H491,I491,J491,L491)&lt;4,"",ROUND(AVERAGE(H491,I491,J491,L491),1))</f>
        <v/>
      </c>
      <c r="Y491">
        <f>IF(X491="","",IF(X491&lt;26,"normal",IF(X491&lt;41,"mild",IF(X491&lt;61,"moderate",IF(X491&lt;81,"severe","profound")))))</f>
        <v/>
      </c>
      <c r="Z491">
        <f>IF(X491="","",IF(OR(ABS(X491-25)&lt;=5,ABS(X491-40)&lt;=5,ABS(X491-60)&lt;=5,ABS(X491-80)&lt;=5),1,0))</f>
        <v/>
      </c>
      <c r="AA491">
        <f>IF(MAX(ABS(G491-H491),ABS(H491-I491),ABS(I491-J491),ABS(J491-K491),ABS(K491-L491),ABS(L491-M491),ABS(M491-N491))&gt;40,1,0)</f>
        <v/>
      </c>
    </row>
    <row r="492">
      <c r="X492">
        <f>IF(COUNT(H492,I492,J492,L492)&lt;4,"",ROUND(AVERAGE(H492,I492,J492,L492),1))</f>
        <v/>
      </c>
      <c r="Y492">
        <f>IF(X492="","",IF(X492&lt;26,"normal",IF(X492&lt;41,"mild",IF(X492&lt;61,"moderate",IF(X492&lt;81,"severe","profound")))))</f>
        <v/>
      </c>
      <c r="Z492">
        <f>IF(X492="","",IF(OR(ABS(X492-25)&lt;=5,ABS(X492-40)&lt;=5,ABS(X492-60)&lt;=5,ABS(X492-80)&lt;=5),1,0))</f>
        <v/>
      </c>
      <c r="AA492">
        <f>IF(MAX(ABS(G492-H492),ABS(H492-I492),ABS(I492-J492),ABS(J492-K492),ABS(K492-L492),ABS(L492-M492),ABS(M492-N492))&gt;40,1,0)</f>
        <v/>
      </c>
    </row>
    <row r="493">
      <c r="X493">
        <f>IF(COUNT(H493,I493,J493,L493)&lt;4,"",ROUND(AVERAGE(H493,I493,J493,L493),1))</f>
        <v/>
      </c>
      <c r="Y493">
        <f>IF(X493="","",IF(X493&lt;26,"normal",IF(X493&lt;41,"mild",IF(X493&lt;61,"moderate",IF(X493&lt;81,"severe","profound")))))</f>
        <v/>
      </c>
      <c r="Z493">
        <f>IF(X493="","",IF(OR(ABS(X493-25)&lt;=5,ABS(X493-40)&lt;=5,ABS(X493-60)&lt;=5,ABS(X493-80)&lt;=5),1,0))</f>
        <v/>
      </c>
      <c r="AA493">
        <f>IF(MAX(ABS(G493-H493),ABS(H493-I493),ABS(I493-J493),ABS(J493-K493),ABS(K493-L493),ABS(L493-M493),ABS(M493-N493))&gt;40,1,0)</f>
        <v/>
      </c>
    </row>
    <row r="494">
      <c r="X494">
        <f>IF(COUNT(H494,I494,J494,L494)&lt;4,"",ROUND(AVERAGE(H494,I494,J494,L494),1))</f>
        <v/>
      </c>
      <c r="Y494">
        <f>IF(X494="","",IF(X494&lt;26,"normal",IF(X494&lt;41,"mild",IF(X494&lt;61,"moderate",IF(X494&lt;81,"severe","profound")))))</f>
        <v/>
      </c>
      <c r="Z494">
        <f>IF(X494="","",IF(OR(ABS(X494-25)&lt;=5,ABS(X494-40)&lt;=5,ABS(X494-60)&lt;=5,ABS(X494-80)&lt;=5),1,0))</f>
        <v/>
      </c>
      <c r="AA494">
        <f>IF(MAX(ABS(G494-H494),ABS(H494-I494),ABS(I494-J494),ABS(J494-K494),ABS(K494-L494),ABS(L494-M494),ABS(M494-N494))&gt;40,1,0)</f>
        <v/>
      </c>
    </row>
    <row r="495">
      <c r="X495">
        <f>IF(COUNT(H495,I495,J495,L495)&lt;4,"",ROUND(AVERAGE(H495,I495,J495,L495),1))</f>
        <v/>
      </c>
      <c r="Y495">
        <f>IF(X495="","",IF(X495&lt;26,"normal",IF(X495&lt;41,"mild",IF(X495&lt;61,"moderate",IF(X495&lt;81,"severe","profound")))))</f>
        <v/>
      </c>
      <c r="Z495">
        <f>IF(X495="","",IF(OR(ABS(X495-25)&lt;=5,ABS(X495-40)&lt;=5,ABS(X495-60)&lt;=5,ABS(X495-80)&lt;=5),1,0))</f>
        <v/>
      </c>
      <c r="AA495">
        <f>IF(MAX(ABS(G495-H495),ABS(H495-I495),ABS(I495-J495),ABS(J495-K495),ABS(K495-L495),ABS(L495-M495),ABS(M495-N495))&gt;40,1,0)</f>
        <v/>
      </c>
    </row>
    <row r="496">
      <c r="X496">
        <f>IF(COUNT(H496,I496,J496,L496)&lt;4,"",ROUND(AVERAGE(H496,I496,J496,L496),1))</f>
        <v/>
      </c>
      <c r="Y496">
        <f>IF(X496="","",IF(X496&lt;26,"normal",IF(X496&lt;41,"mild",IF(X496&lt;61,"moderate",IF(X496&lt;81,"severe","profound")))))</f>
        <v/>
      </c>
      <c r="Z496">
        <f>IF(X496="","",IF(OR(ABS(X496-25)&lt;=5,ABS(X496-40)&lt;=5,ABS(X496-60)&lt;=5,ABS(X496-80)&lt;=5),1,0))</f>
        <v/>
      </c>
      <c r="AA496">
        <f>IF(MAX(ABS(G496-H496),ABS(H496-I496),ABS(I496-J496),ABS(J496-K496),ABS(K496-L496),ABS(L496-M496),ABS(M496-N496))&gt;40,1,0)</f>
        <v/>
      </c>
    </row>
    <row r="497">
      <c r="X497">
        <f>IF(COUNT(H497,I497,J497,L497)&lt;4,"",ROUND(AVERAGE(H497,I497,J497,L497),1))</f>
        <v/>
      </c>
      <c r="Y497">
        <f>IF(X497="","",IF(X497&lt;26,"normal",IF(X497&lt;41,"mild",IF(X497&lt;61,"moderate",IF(X497&lt;81,"severe","profound")))))</f>
        <v/>
      </c>
      <c r="Z497">
        <f>IF(X497="","",IF(OR(ABS(X497-25)&lt;=5,ABS(X497-40)&lt;=5,ABS(X497-60)&lt;=5,ABS(X497-80)&lt;=5),1,0))</f>
        <v/>
      </c>
      <c r="AA497">
        <f>IF(MAX(ABS(G497-H497),ABS(H497-I497),ABS(I497-J497),ABS(J497-K497),ABS(K497-L497),ABS(L497-M497),ABS(M497-N497))&gt;40,1,0)</f>
        <v/>
      </c>
    </row>
    <row r="498">
      <c r="X498">
        <f>IF(COUNT(H498,I498,J498,L498)&lt;4,"",ROUND(AVERAGE(H498,I498,J498,L498),1))</f>
        <v/>
      </c>
      <c r="Y498">
        <f>IF(X498="","",IF(X498&lt;26,"normal",IF(X498&lt;41,"mild",IF(X498&lt;61,"moderate",IF(X498&lt;81,"severe","profound")))))</f>
        <v/>
      </c>
      <c r="Z498">
        <f>IF(X498="","",IF(OR(ABS(X498-25)&lt;=5,ABS(X498-40)&lt;=5,ABS(X498-60)&lt;=5,ABS(X498-80)&lt;=5),1,0))</f>
        <v/>
      </c>
      <c r="AA498">
        <f>IF(MAX(ABS(G498-H498),ABS(H498-I498),ABS(I498-J498),ABS(J498-K498),ABS(K498-L498),ABS(L498-M498),ABS(M498-N498))&gt;40,1,0)</f>
        <v/>
      </c>
    </row>
    <row r="499">
      <c r="X499">
        <f>IF(COUNT(H499,I499,J499,L499)&lt;4,"",ROUND(AVERAGE(H499,I499,J499,L499),1))</f>
        <v/>
      </c>
      <c r="Y499">
        <f>IF(X499="","",IF(X499&lt;26,"normal",IF(X499&lt;41,"mild",IF(X499&lt;61,"moderate",IF(X499&lt;81,"severe","profound")))))</f>
        <v/>
      </c>
      <c r="Z499">
        <f>IF(X499="","",IF(OR(ABS(X499-25)&lt;=5,ABS(X499-40)&lt;=5,ABS(X499-60)&lt;=5,ABS(X499-80)&lt;=5),1,0))</f>
        <v/>
      </c>
      <c r="AA499">
        <f>IF(MAX(ABS(G499-H499),ABS(H499-I499),ABS(I499-J499),ABS(J499-K499),ABS(K499-L499),ABS(L499-M499),ABS(M499-N499))&gt;40,1,0)</f>
        <v/>
      </c>
    </row>
    <row r="500">
      <c r="X500">
        <f>IF(COUNT(H500,I500,J500,L500)&lt;4,"",ROUND(AVERAGE(H500,I500,J500,L500),1))</f>
        <v/>
      </c>
      <c r="Y500">
        <f>IF(X500="","",IF(X500&lt;26,"normal",IF(X500&lt;41,"mild",IF(X500&lt;61,"moderate",IF(X500&lt;81,"severe","profound")))))</f>
        <v/>
      </c>
      <c r="Z500">
        <f>IF(X500="","",IF(OR(ABS(X500-25)&lt;=5,ABS(X500-40)&lt;=5,ABS(X500-60)&lt;=5,ABS(X500-80)&lt;=5),1,0))</f>
        <v/>
      </c>
      <c r="AA500">
        <f>IF(MAX(ABS(G500-H500),ABS(H500-I500),ABS(I500-J500),ABS(J500-K500),ABS(K500-L500),ABS(L500-M500),ABS(M500-N500))&gt;40,1,0)</f>
        <v/>
      </c>
    </row>
    <row r="501">
      <c r="X501">
        <f>IF(COUNT(H501,I501,J501,L501)&lt;4,"",ROUND(AVERAGE(H501,I501,J501,L501),1))</f>
        <v/>
      </c>
      <c r="Y501">
        <f>IF(X501="","",IF(X501&lt;26,"normal",IF(X501&lt;41,"mild",IF(X501&lt;61,"moderate",IF(X501&lt;81,"severe","profound")))))</f>
        <v/>
      </c>
      <c r="Z501">
        <f>IF(X501="","",IF(OR(ABS(X501-25)&lt;=5,ABS(X501-40)&lt;=5,ABS(X501-60)&lt;=5,ABS(X501-80)&lt;=5),1,0))</f>
        <v/>
      </c>
      <c r="AA501">
        <f>IF(MAX(ABS(G501-H501),ABS(H501-I501),ABS(I501-J501),ABS(J501-K501),ABS(K501-L501),ABS(L501-M501),ABS(M501-N501))&gt;40,1,0)</f>
        <v/>
      </c>
    </row>
    <row r="502">
      <c r="X502">
        <f>IF(COUNT(H502,I502,J502,L502)&lt;4,"",ROUND(AVERAGE(H502,I502,J502,L502),1))</f>
        <v/>
      </c>
      <c r="Y502">
        <f>IF(X502="","",IF(X502&lt;26,"normal",IF(X502&lt;41,"mild",IF(X502&lt;61,"moderate",IF(X502&lt;81,"severe","profound")))))</f>
        <v/>
      </c>
      <c r="Z502">
        <f>IF(X502="","",IF(OR(ABS(X502-25)&lt;=5,ABS(X502-40)&lt;=5,ABS(X502-60)&lt;=5,ABS(X502-80)&lt;=5),1,0))</f>
        <v/>
      </c>
      <c r="AA502">
        <f>IF(MAX(ABS(G502-H502),ABS(H502-I502),ABS(I502-J502),ABS(J502-K502),ABS(K502-L502),ABS(L502-M502),ABS(M502-N502))&gt;40,1,0)</f>
        <v/>
      </c>
    </row>
  </sheetData>
  <conditionalFormatting sqref="AA3:AA2000">
    <cfRule type="expression" priority="1" dxfId="0">
      <formula>AND($H3&lt;&gt;"",$H3=1)</formula>
    </cfRule>
  </conditionalFormatting>
  <dataValidations count="19">
    <dataValidation sqref="C3:C2000" showDropDown="0" showInputMessage="0" showErrorMessage="1" allowBlank="1" errorTitle="Invalid entry" error="Choose from the list" type="list">
      <formula1>"left,right"</formula1>
    </dataValidation>
    <dataValidation sqref="F3:F2000" showDropDown="0" showInputMessage="0" showErrorMessage="1" allowBlank="1" errorTitle="Invalid entry" error="Choose from the list" type="list">
      <formula1>"1,2"</formula1>
    </dataValidation>
    <dataValidation sqref="S3:S2000" showDropDown="0" showInputMessage="0" showErrorMessage="1" allowBlank="1" errorTitle="Invalid entry" error="Choose from the list" type="list">
      <formula1>"csoM,otosclerosis,nihl,presbyacusis,ssnhl,ototoxicity,meniere,other,not_documented"</formula1>
    </dataValidation>
    <dataValidation sqref="T3:T2000" showDropDown="0" showInputMessage="0" showErrorMessage="1" allowBlank="1" errorTitle="Invalid entry" error="Choose from the list" type="list">
      <formula1>"normal,mild,moderate,moderately_severe,severe,profound"</formula1>
    </dataValidation>
    <dataValidation sqref="U3:U2000" showDropDown="0" showInputMessage="0" showErrorMessage="1" allowBlank="1" errorTitle="Invalid entry" error="Choose from the list" type="list">
      <formula1>"flat,sloping,notched,rising"</formula1>
    </dataValidation>
    <dataValidation sqref="V3:V2000" showDropDown="0" showInputMessage="0" showErrorMessage="1" allowBlank="1" errorTitle="Invalid entry" error="Choose from the list" type="list">
      <formula1>"1,0"</formula1>
    </dataValidation>
    <dataValidation sqref="G3:G2000" showDropDown="0" showInputMessage="0" showErrorMessage="1" allowBlank="1" errorTitle="Out of range" error="dB HL must be −10..120" type="decimal" operator="between">
      <formula1>-10</formula1>
      <formula2>120</formula2>
    </dataValidation>
    <dataValidation sqref="H3:H2000" showDropDown="0" showInputMessage="0" showErrorMessage="1" allowBlank="1" errorTitle="Out of range" error="dB HL must be −10..120" type="decimal" operator="between">
      <formula1>-10</formula1>
      <formula2>120</formula2>
    </dataValidation>
    <dataValidation sqref="I3:I2000" showDropDown="0" showInputMessage="0" showErrorMessage="1" allowBlank="1" errorTitle="Out of range" error="dB HL must be −10..120" type="decimal" operator="between">
      <formula1>-10</formula1>
      <formula2>120</formula2>
    </dataValidation>
    <dataValidation sqref="J3:J2000" showDropDown="0" showInputMessage="0" showErrorMessage="1" allowBlank="1" errorTitle="Out of range" error="dB HL must be −10..120" type="decimal" operator="between">
      <formula1>-10</formula1>
      <formula2>120</formula2>
    </dataValidation>
    <dataValidation sqref="K3:K2000" showDropDown="0" showInputMessage="0" showErrorMessage="1" allowBlank="1" errorTitle="Out of range" error="dB HL must be −10..120" type="decimal" operator="between">
      <formula1>-10</formula1>
      <formula2>120</formula2>
    </dataValidation>
    <dataValidation sqref="L3:L2000" showDropDown="0" showInputMessage="0" showErrorMessage="1" allowBlank="1" errorTitle="Out of range" error="dB HL must be −10..120" type="decimal" operator="between">
      <formula1>-10</formula1>
      <formula2>120</formula2>
    </dataValidation>
    <dataValidation sqref="M3:M2000" showDropDown="0" showInputMessage="0" showErrorMessage="1" allowBlank="1" errorTitle="Out of range" error="dB HL must be −10..120" type="decimal" operator="between">
      <formula1>-10</formula1>
      <formula2>120</formula2>
    </dataValidation>
    <dataValidation sqref="N3:N2000" showDropDown="0" showInputMessage="0" showErrorMessage="1" allowBlank="1" errorTitle="Out of range" error="dB HL must be −10..120" type="decimal" operator="between">
      <formula1>-10</formula1>
      <formula2>120</formula2>
    </dataValidation>
    <dataValidation sqref="O3:O2000" showDropDown="0" showInputMessage="0" showErrorMessage="1" allowBlank="1" errorTitle="Out of range" error="dB HL must be −10..120" type="decimal" operator="between">
      <formula1>-10</formula1>
      <formula2>120</formula2>
    </dataValidation>
    <dataValidation sqref="P3:P2000" showDropDown="0" showInputMessage="0" showErrorMessage="1" allowBlank="1" errorTitle="Out of range" error="dB HL must be −10..120" type="decimal" operator="between">
      <formula1>-10</formula1>
      <formula2>120</formula2>
    </dataValidation>
    <dataValidation sqref="Q3:Q2000" showDropDown="0" showInputMessage="0" showErrorMessage="1" allowBlank="1" errorTitle="Out of range" error="dB HL must be −10..120" type="decimal" operator="between">
      <formula1>-10</formula1>
      <formula2>120</formula2>
    </dataValidation>
    <dataValidation sqref="R3:R2000" showDropDown="0" showInputMessage="0" showErrorMessage="1" allowBlank="1" errorTitle="Out of range" error="dB HL must be −10..120" type="decimal" operator="between">
      <formula1>-10</formula1>
      <formula2>120</formula2>
    </dataValidation>
    <dataValidation sqref="E3:E2000" showDropDown="0" showInputMessage="0" showErrorMessage="1" allowBlank="1" errorTitle="Out of range" error="Age must be 18–110" type="whole" operator="between">
      <formula1>18</formula1>
      <formula2>110</formula2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B14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5" t="inlineStr">
        <is>
          <t>OAUTHC FAI External Validation — Data Entry</t>
        </is>
      </c>
    </row>
    <row r="2">
      <c r="B2" s="6" t="inlineStr"/>
    </row>
    <row r="3">
      <c r="B3" s="6" t="inlineStr">
        <is>
          <t>1. One row per EAR. A patient with both ears tested contributes two rows sharing the same patient_id.</t>
        </is>
      </c>
    </row>
    <row r="4">
      <c r="B4" s="6" t="inlineStr">
        <is>
          <t>2. No direct identifiers. No names, hospital numbers, addresses, phones or emails. study_id is sequential and NOT linked to the hospital record.</t>
        </is>
      </c>
    </row>
    <row r="5">
      <c r="B5" s="6" t="inlineStr">
        <is>
          <t>3. Missing values: leave BLANK. Do not write NA, N/A, -, ., or 0.</t>
        </is>
      </c>
    </row>
    <row r="6">
      <c r="B6" s="6" t="inlineStr">
        <is>
          <t>4. Thresholds are dB HL, range −10 to +120 (enforced).</t>
        </is>
      </c>
    </row>
    <row r="7">
      <c r="B7" s="6" t="inlineStr">
        <is>
          <t>5. test_month_year: month-year only (e.g. Mar 2023). Never the day.</t>
        </is>
      </c>
    </row>
    <row r="8">
      <c r="B8" s="6" t="inlineStr">
        <is>
          <t>6. sex: 1 = male, 2 = female, blank = not documented.</t>
        </is>
      </c>
    </row>
    <row r="9">
      <c r="B9" s="6" t="inlineStr">
        <is>
          <t>7. diagnosis_category, consultant_grade, documented_shape: dropdowns; only fill grade/shape where explicitly documented.</t>
        </is>
      </c>
    </row>
    <row r="10">
      <c r="B10" s="6" t="inlineStr">
        <is>
          <t>8. ear_included: 1 = eligible, 0 = excluded (give exclusion_reason).</t>
        </is>
      </c>
    </row>
    <row r="11">
      <c r="B11" s="6" t="inlineStr">
        <is>
          <t>9. Derived columns (pta4, who_grade, borderline, monotonicity_flag) are auto-computed — do not type into them.</t>
        </is>
      </c>
    </row>
    <row r="12">
      <c r="B12" s="6" t="inlineStr">
        <is>
          <t>10. After every 20 rows, run the batch validation script (see README) and resolve any flags.</t>
        </is>
      </c>
    </row>
    <row r="13">
      <c r="B13" s="6" t="inlineStr"/>
    </row>
    <row r="14">
      <c r="B14" s="7" t="inlineStr">
        <is>
          <t>Study design note: the frozen FAI pipeline computes fai_score/fai_label/fai_config + membership degrees from these thresholds; those columns are added by the processing script, not the entry form.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cols>
    <col width="22" customWidth="1" min="1" max="1"/>
    <col width="14" customWidth="1" min="2" max="2"/>
    <col width="70" customWidth="1" min="3" max="3"/>
    <col width="24" customWidth="1" min="4" max="4"/>
  </cols>
  <sheetData>
    <row r="1">
      <c r="A1" s="8" t="inlineStr">
        <is>
          <t>Column</t>
        </is>
      </c>
      <c r="B1" s="8" t="inlineStr">
        <is>
          <t>Type</t>
        </is>
      </c>
      <c r="C1" s="8" t="inlineStr">
        <is>
          <t>Allowed values / notes</t>
        </is>
      </c>
      <c r="D1" s="8" t="inlineStr">
        <is>
          <t>Source</t>
        </is>
      </c>
    </row>
    <row r="2">
      <c r="A2" s="9" t="inlineStr">
        <is>
          <t>study_id</t>
        </is>
      </c>
      <c r="B2" s="9" t="inlineStr">
        <is>
          <t>Integer</t>
        </is>
      </c>
      <c r="C2" s="9" t="inlineStr">
        <is>
          <t>Sequential 1..N, unique per record (one row per ear)</t>
        </is>
      </c>
      <c r="D2" s="9" t="inlineStr">
        <is>
          <t>Assigned</t>
        </is>
      </c>
    </row>
    <row r="3">
      <c r="A3" s="9" t="inlineStr">
        <is>
          <t>patient_id</t>
        </is>
      </c>
      <c r="B3" s="9" t="inlineStr">
        <is>
          <t>Integer</t>
        </is>
      </c>
      <c r="C3" s="9" t="inlineStr">
        <is>
          <t>Sequential per patient; two ear rows share it</t>
        </is>
      </c>
      <c r="D3" s="9" t="inlineStr">
        <is>
          <t>Assigned</t>
        </is>
      </c>
    </row>
    <row r="4">
      <c r="A4" s="9" t="inlineStr">
        <is>
          <t>ear</t>
        </is>
      </c>
      <c r="B4" s="9" t="inlineStr">
        <is>
          <t>Text</t>
        </is>
      </c>
      <c r="C4" s="9" t="inlineStr">
        <is>
          <t>left / right</t>
        </is>
      </c>
      <c r="D4" s="9" t="inlineStr">
        <is>
          <t>Audiogram</t>
        </is>
      </c>
    </row>
    <row r="5">
      <c r="A5" s="9" t="inlineStr">
        <is>
          <t>test_month_year</t>
        </is>
      </c>
      <c r="B5" s="9" t="inlineStr">
        <is>
          <t>Text</t>
        </is>
      </c>
      <c r="C5" s="9" t="inlineStr">
        <is>
          <t>e.g. Mar 2023; month-year only, never day</t>
        </is>
      </c>
      <c r="D5" s="9" t="inlineStr">
        <is>
          <t>Audiogram header</t>
        </is>
      </c>
    </row>
    <row r="6">
      <c r="A6" s="9" t="inlineStr">
        <is>
          <t>age_years</t>
        </is>
      </c>
      <c r="B6" s="9" t="inlineStr">
        <is>
          <t>Integer</t>
        </is>
      </c>
      <c r="C6" s="9" t="inlineStr">
        <is>
          <t>18–110</t>
        </is>
      </c>
      <c r="D6" s="9" t="inlineStr">
        <is>
          <t>Record</t>
        </is>
      </c>
    </row>
    <row r="7">
      <c r="A7" s="9" t="inlineStr">
        <is>
          <t>sex</t>
        </is>
      </c>
      <c r="B7" s="9" t="inlineStr">
        <is>
          <t>Integer</t>
        </is>
      </c>
      <c r="C7" s="9" t="inlineStr">
        <is>
          <t>1 = male, 2 = female, blank = not documented</t>
        </is>
      </c>
      <c r="D7" s="9" t="inlineStr">
        <is>
          <t>Record</t>
        </is>
      </c>
    </row>
    <row r="8">
      <c r="A8" s="9" t="inlineStr">
        <is>
          <t>th_250..th_8k</t>
        </is>
      </c>
      <c r="B8" s="9" t="inlineStr">
        <is>
          <t>Decimal</t>
        </is>
      </c>
      <c r="C8" s="9" t="inlineStr">
        <is>
          <t>dB HL, −10..120</t>
        </is>
      </c>
      <c r="D8" s="9" t="inlineStr">
        <is>
          <t>Audiogram chart</t>
        </is>
      </c>
    </row>
    <row r="9">
      <c r="A9" s="9" t="inlineStr">
        <is>
          <t>bc_500..bc_4k</t>
        </is>
      </c>
      <c r="B9" s="9" t="inlineStr">
        <is>
          <t>Decimal</t>
        </is>
      </c>
      <c r="C9" s="9" t="inlineStr">
        <is>
          <t>dB HL bone conduction where recorded</t>
        </is>
      </c>
      <c r="D9" s="9" t="inlineStr">
        <is>
          <t>Audiogram chart</t>
        </is>
      </c>
    </row>
    <row r="10">
      <c r="A10" s="9" t="inlineStr">
        <is>
          <t>diagnosis_category</t>
        </is>
      </c>
      <c r="B10" s="9" t="inlineStr">
        <is>
          <t>Text</t>
        </is>
      </c>
      <c r="C10" s="9" t="inlineStr">
        <is>
          <t>csoM | otosclerosis | nihl | presbyacusis | ssnhl | ototoxicity | meniere | other | not_documented</t>
        </is>
      </c>
      <c r="D10" s="9" t="inlineStr">
        <is>
          <t>Record</t>
        </is>
      </c>
    </row>
    <row r="11">
      <c r="A11" s="9" t="inlineStr">
        <is>
          <t>consultant_grade</t>
        </is>
      </c>
      <c r="B11" s="9" t="inlineStr">
        <is>
          <t>Text</t>
        </is>
      </c>
      <c r="C11" s="9" t="inlineStr">
        <is>
          <t>normal | mild | moderate | moderately_severe | severe | profound — only where explicitly documented</t>
        </is>
      </c>
      <c r="D11" s="9" t="inlineStr">
        <is>
          <t>Record</t>
        </is>
      </c>
    </row>
    <row r="12">
      <c r="A12" s="9" t="inlineStr">
        <is>
          <t>documented_shape</t>
        </is>
      </c>
      <c r="B12" s="9" t="inlineStr">
        <is>
          <t>Text</t>
        </is>
      </c>
      <c r="C12" s="9" t="inlineStr">
        <is>
          <t>flat | sloping | notched | rising — only where explicitly documented</t>
        </is>
      </c>
      <c r="D12" s="9" t="inlineStr">
        <is>
          <t>Record</t>
        </is>
      </c>
    </row>
    <row r="13">
      <c r="A13" s="9" t="inlineStr">
        <is>
          <t>ear_included</t>
        </is>
      </c>
      <c r="B13" s="9" t="inlineStr">
        <is>
          <t>Integer</t>
        </is>
      </c>
      <c r="C13" s="9" t="inlineStr">
        <is>
          <t>1 = eligible, 0 = excluded (reason below)</t>
        </is>
      </c>
      <c r="D13" s="9" t="inlineStr">
        <is>
          <t>Extraction review</t>
        </is>
      </c>
    </row>
    <row r="14">
      <c r="A14" s="9" t="inlineStr">
        <is>
          <t>exclusion_reason</t>
        </is>
      </c>
      <c r="B14" s="9" t="inlineStr">
        <is>
          <t>Text</t>
        </is>
      </c>
      <c r="C14" s="9" t="inlineStr">
        <is>
          <t>blank if included; e.g. &lt;4 PTA freqs, out-of-range thresholds, duplicate episode</t>
        </is>
      </c>
      <c r="D14" s="9" t="inlineStr">
        <is>
          <t>Extraction review</t>
        </is>
      </c>
    </row>
    <row r="15">
      <c r="A15" s="9" t="inlineStr">
        <is>
          <t>pta4 (auto)</t>
        </is>
      </c>
      <c r="B15" s="9" t="inlineStr">
        <is>
          <t>Decimal</t>
        </is>
      </c>
      <c r="C15" s="9" t="inlineStr">
        <is>
          <t>mean(th_500, th_1k, th_2k, th_4k)</t>
        </is>
      </c>
      <c r="D15" s="9" t="inlineStr">
        <is>
          <t>Derived</t>
        </is>
      </c>
    </row>
    <row r="16">
      <c r="A16" s="9" t="inlineStr">
        <is>
          <t>who_grade (auto)</t>
        </is>
      </c>
      <c r="B16" s="9" t="inlineStr">
        <is>
          <t>Text</t>
        </is>
      </c>
      <c r="C16" s="9" t="inlineStr">
        <is>
          <t>WHO PTA-4 classification of pta4</t>
        </is>
      </c>
      <c r="D16" s="9" t="inlineStr">
        <is>
          <t>Derived</t>
        </is>
      </c>
    </row>
    <row r="17">
      <c r="A17" s="9" t="inlineStr">
        <is>
          <t>borderline (auto)</t>
        </is>
      </c>
      <c r="B17" s="9" t="inlineStr">
        <is>
          <t>Integer</t>
        </is>
      </c>
      <c r="C17" s="9" t="inlineStr">
        <is>
          <t>pta4 within ±5 dB of any WHO boundary (25/40/60/80)</t>
        </is>
      </c>
      <c r="D17" s="9" t="inlineStr">
        <is>
          <t>Derived</t>
        </is>
      </c>
    </row>
    <row r="18">
      <c r="A18" s="9" t="inlineStr">
        <is>
          <t>monotonicity_flag (auto)</t>
        </is>
      </c>
      <c r="B18" s="9" t="inlineStr">
        <is>
          <t>Integer</t>
        </is>
      </c>
      <c r="C18" s="9" t="inlineStr">
        <is>
          <t>1 if any adjacent-frequency jump &gt; 40 dB (review, do not auto-correct)</t>
        </is>
      </c>
      <c r="D18" s="9" t="inlineStr">
        <is>
          <t>Derived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1:B22"/>
  <sheetViews>
    <sheetView workbookViewId="0">
      <selection activeCell="A1" sqref="A1"/>
    </sheetView>
  </sheetViews>
  <sheetFormatPr baseColWidth="8" defaultRowHeight="15"/>
  <cols>
    <col width="3" customWidth="1" min="1" max="1"/>
    <col width="100" customWidth="1" min="2" max="2"/>
  </cols>
  <sheetData>
    <row r="1">
      <c r="B1" s="10" t="inlineStr">
        <is>
          <t>How this workbook works</t>
        </is>
      </c>
    </row>
    <row r="2">
      <c r="B2" s="6" t="inlineStr"/>
    </row>
    <row r="3">
      <c r="B3" s="6" t="inlineStr">
        <is>
          <t>- Enter data in the 'Data Entry' sheet, one row per ear.</t>
        </is>
      </c>
    </row>
    <row r="4">
      <c r="B4" s="6" t="inlineStr">
        <is>
          <t>- Use the dropdowns; thresholds auto-validate (−10..120 dB HL).</t>
        </is>
      </c>
    </row>
    <row r="5">
      <c r="B5" s="6" t="inlineStr">
        <is>
          <t>- pta4, who_grade, borderline and monotonicity_flag compute automatically.</t>
        </is>
      </c>
    </row>
    <row r="6">
      <c r="B6" s="6" t="inlineStr">
        <is>
          <t>- The monotonicity flag turns amber when an adjacent-frequency jump exceeds 40 dB — review that row (do not auto-correct).</t>
        </is>
      </c>
    </row>
    <row r="7">
      <c r="B7" s="6" t="inlineStr"/>
    </row>
    <row r="8">
      <c r="B8" s="10" t="inlineStr">
        <is>
          <t>Processing the data</t>
        </is>
      </c>
    </row>
    <row r="9">
      <c r="B9" s="6" t="inlineStr"/>
    </row>
    <row r="10">
      <c r="B10" s="6" t="inlineStr">
        <is>
          <t>1. Save this file, then run the batch processor (to be added):</t>
        </is>
      </c>
    </row>
    <row r="11">
      <c r="B11" s="6" t="inlineStr">
        <is>
          <t xml:space="preserve">   python scripts/validate_oatuhc.py --input OAUTHC_FAI_validation_data_entry.xlsx</t>
        </is>
      </c>
    </row>
    <row r="12">
      <c r="B12" s="6" t="inlineStr">
        <is>
          <t>2. The processor validates rules (unique study_id, duplicate (patient_id,ear), age range, binary flags).</t>
        </is>
      </c>
    </row>
    <row r="13">
      <c r="B13" s="6" t="inlineStr">
        <is>
          <t>3. It then runs the frozen FAI pipeline on every eligible ear and appends:</t>
        </is>
      </c>
    </row>
    <row r="14">
      <c r="B14" s="6" t="inlineStr">
        <is>
          <t xml:space="preserve">   fai_score, fai_label, fai_config, membership_normal..profound</t>
        </is>
      </c>
    </row>
    <row r="15">
      <c r="B15" s="6" t="inlineStr">
        <is>
          <t>4. Outputs an analysis-ready CSV (ear-level) plus a per-batch QA report.</t>
        </is>
      </c>
    </row>
    <row r="16">
      <c r="B16" s="6" t="inlineStr"/>
    </row>
    <row r="17">
      <c r="B17" s="10" t="inlineStr">
        <is>
          <t>Cheat-sheet of dropdown values</t>
        </is>
      </c>
    </row>
    <row r="18">
      <c r="B18" s="6" t="inlineStr"/>
    </row>
    <row r="19">
      <c r="B19" s="6" t="inlineStr">
        <is>
          <t>diagnosis_category: csoM | otosclerosis | nihl | presbyacusis | ssnhl | ototoxicity | meniere | other | not_documented</t>
        </is>
      </c>
    </row>
    <row r="20">
      <c r="B20" s="6" t="inlineStr">
        <is>
          <t>consultant_grade: normal | mild | moderate | moderately_severe | severe | profound</t>
        </is>
      </c>
    </row>
    <row r="21">
      <c r="B21" s="6" t="inlineStr">
        <is>
          <t>documented_shape: flat | sloping | notched | rising</t>
        </is>
      </c>
    </row>
    <row r="22">
      <c r="B22" s="6" t="inlineStr">
        <is>
          <t>ear: left | right      sex: 1 | 2      ear_included: 1 | 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2026-08-27T17:17:32Z</dcterms:created>
  <dcterms:modified xmlns:dcterms="http://purl.org/dc/terms/" xmlns:xsi="http://www.w3.org/2001/XMLSchema-instance" xsi:type="dcterms:W3CDTF">2026-08-27T17:17:32Z</dcterms:modified>
</cp:coreProperties>
</file>